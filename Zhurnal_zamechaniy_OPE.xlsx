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Project documents (samples)\"/>
    </mc:Choice>
  </mc:AlternateContent>
  <xr:revisionPtr revIDLastSave="0" documentId="8_{F1CCB529-0C7B-4B80-9BA8-5FF024FADE87}" xr6:coauthVersionLast="47" xr6:coauthVersionMax="47" xr10:uidLastSave="{00000000-0000-0000-0000-000000000000}"/>
  <bookViews>
    <workbookView xWindow="16755" yWindow="2040" windowWidth="25860" windowHeight="16530" tabRatio="500" activeTab="1" xr2:uid="{00000000-000D-0000-FFFF-FFFF00000000}"/>
  </bookViews>
  <sheets>
    <sheet name="Инструкция" sheetId="1" r:id="rId1"/>
    <sheet name="Журнал замечаний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'Журнал замечаний'!$A$2:$O$252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3" l="1"/>
  <c r="C14" i="3"/>
  <c r="C13" i="3"/>
  <c r="C12" i="3"/>
  <c r="F11" i="3"/>
  <c r="C11" i="3"/>
  <c r="F10" i="3"/>
  <c r="C10" i="3"/>
  <c r="F9" i="3"/>
  <c r="C9" i="3"/>
  <c r="F8" i="3"/>
  <c r="C8" i="3"/>
  <c r="F7" i="3"/>
  <c r="C7" i="3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C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2" authorId="0" shapeId="0" xr:uid="{00000000-0006-0000-0100-000001000000}">
      <text>
        <r>
          <rPr>
            <sz val="10"/>
            <rFont val="Arial"/>
            <family val="2"/>
          </rPr>
          <t>Дефект → Журнал дефектов (BUG); Доработка → Реестр CR/доработок; Обучение → консультация/памятка.</t>
        </r>
      </text>
    </comment>
  </commentList>
</comments>
</file>

<file path=xl/sharedStrings.xml><?xml version="1.0" encoding="utf-8"?>
<sst xmlns="http://schemas.openxmlformats.org/spreadsheetml/2006/main" count="157" uniqueCount="109">
  <si>
    <t>ЖУРНАЛ ЗАМЕЧАНИЙ ПЕРИОДА ОПЭ</t>
  </si>
  <si>
    <t>OPE Issue Log — учёт замечаний опытно-промышленной эксплуатации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</si>
  <si>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</si>
  <si>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</si>
  <si>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</si>
  <si>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</si>
  <si>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</si>
  <si>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</si>
  <si>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</si>
  <si>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</si>
  <si>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</si>
  <si>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[Руководитель проекта]</t>
  </si>
  <si>
    <t>Назначение</t>
  </si>
  <si>
    <t>Журнал фиксирует замечания пользователей и команды в период опытно-промышленной эксплуатации (ОПЭ): их категорию, приоритет, способ обработки и статус. Категоризация отделяет дефекты (→ Журнал дефектов), вопросы обучения и потребности в доработках (→ Реестр запросов на изменение). Сводка питает критерии завершения ОПЭ.</t>
  </si>
  <si>
    <t>Состав листов</t>
  </si>
  <si>
    <t>Журнал замечаний</t>
  </si>
  <si>
    <t>Основной журнал. Одна строка — одно замечание.</t>
  </si>
  <si>
    <t>Сводка</t>
  </si>
  <si>
    <t>Аналитика по категориям, приоритету, статусам; контроль критериев завершения ОПЭ.</t>
  </si>
  <si>
    <t>Справочники</t>
  </si>
  <si>
    <t>Списки значений.</t>
  </si>
  <si>
    <t>Журнал изменений</t>
  </si>
  <si>
    <t>Версии документа.</t>
  </si>
  <si>
    <t>Как заполнять</t>
  </si>
  <si>
    <t>•  ID: OPE-NNN. Категория определяет маршрут: Дефект → Журнал дефектов (BUG); Доработка → Реестр CR/доработок.</t>
  </si>
  <si>
    <t>•  Приоритет: Критический / Высокий / Средний / Низкий.</t>
  </si>
  <si>
    <t>•  Статус: Открыто → В работе → Решено → Закрыто / Отклонено.</t>
  </si>
  <si>
    <t>•  Поле «Контроль срока» подсветит просроченные открытые замечания.</t>
  </si>
  <si>
    <t>•  Критический критерий завершения ОПЭ: открытых критических замечаний = 0 (см. Регламент ОПЭ, р.6).</t>
  </si>
  <si>
    <t>Журнал замечаний периода ОПЭ</t>
  </si>
  <si>
    <t>OPE ID</t>
  </si>
  <si>
    <t>Дата</t>
  </si>
  <si>
    <t>Кто подал</t>
  </si>
  <si>
    <t>Подразделение / ЮЛ</t>
  </si>
  <si>
    <t>Описание замечания</t>
  </si>
  <si>
    <t>Категория</t>
  </si>
  <si>
    <t>Подсистема</t>
  </si>
  <si>
    <t>Приоритет</t>
  </si>
  <si>
    <t>Способ обработки / связь</t>
  </si>
  <si>
    <t>Ответственный</t>
  </si>
  <si>
    <t>Срок</t>
  </si>
  <si>
    <t>Контроль срока</t>
  </si>
  <si>
    <t>Статус</t>
  </si>
  <si>
    <t>Дата закрытия</t>
  </si>
  <si>
    <t>Примечание</t>
  </si>
  <si>
    <t>OPE-001</t>
  </si>
  <si>
    <t>[ФИО]</t>
  </si>
  <si>
    <t>[Бухгалтерия ЮЛ-1]</t>
  </si>
  <si>
    <t>Не находит контрагента при вводе документа</t>
  </si>
  <si>
    <t>Данные/НСИ</t>
  </si>
  <si>
    <t>Регламентированный учёт</t>
  </si>
  <si>
    <t>Высокий</t>
  </si>
  <si>
    <t>Проверка НСИ; дозагрузка</t>
  </si>
  <si>
    <t>[Архитектор данных]</t>
  </si>
  <si>
    <t>В работе</t>
  </si>
  <si>
    <t>OPE-002</t>
  </si>
  <si>
    <t>[Производство]</t>
  </si>
  <si>
    <t>Непонятно, как закрыть смену</t>
  </si>
  <si>
    <t>Вопрос обучения</t>
  </si>
  <si>
    <t>Производство</t>
  </si>
  <si>
    <t>Средний</t>
  </si>
  <si>
    <t>Консультация + памятка</t>
  </si>
  <si>
    <t>[Тренер]</t>
  </si>
  <si>
    <t>Решено</t>
  </si>
  <si>
    <t>OPE-003</t>
  </si>
  <si>
    <t>[Финансы]</t>
  </si>
  <si>
    <t>Ошибка при проведении платежа</t>
  </si>
  <si>
    <t>Дефект</t>
  </si>
  <si>
    <t>Финансы и казначейство</t>
  </si>
  <si>
    <t>Критический</t>
  </si>
  <si>
    <t>→ Журнал дефектов (BUG-014)</t>
  </si>
  <si>
    <t>[QA]</t>
  </si>
  <si>
    <t>Открыто</t>
  </si>
  <si>
    <t>OPE-004</t>
  </si>
  <si>
    <t>[Продажи]</t>
  </si>
  <si>
    <t>Нужен доп. реквизит в форме заказа</t>
  </si>
  <si>
    <t>Потребность в доработке</t>
  </si>
  <si>
    <t>Продажи</t>
  </si>
  <si>
    <t>→ Реестр CR (CR-005)</t>
  </si>
  <si>
    <t>[РП]</t>
  </si>
  <si>
    <t>Сводка по замечаниям ОПЭ</t>
  </si>
  <si>
    <t>Считается автоматически по листу «Журнал замечаний».</t>
  </si>
  <si>
    <t>По категории</t>
  </si>
  <si>
    <t>По статусу</t>
  </si>
  <si>
    <t>Кол-во</t>
  </si>
  <si>
    <t>Закрыто</t>
  </si>
  <si>
    <t>Производительность</t>
  </si>
  <si>
    <t>Отклонено</t>
  </si>
  <si>
    <t>Организационное</t>
  </si>
  <si>
    <t>Прочее</t>
  </si>
  <si>
    <t>Всего замечаний</t>
  </si>
  <si>
    <t>Критерий завершения ОПЭ: открытых критических = 0 (Регламент ОПЭ, р.6).</t>
  </si>
  <si>
    <t>Открытых критических</t>
  </si>
  <si>
    <t>Просрочено</t>
  </si>
  <si>
    <t>Консолидация (1С:УХ)</t>
  </si>
  <si>
    <t>Низкий</t>
  </si>
  <si>
    <t>Закупки/склад</t>
  </si>
  <si>
    <t>HR/ЗП</t>
  </si>
  <si>
    <t>НСИ</t>
  </si>
  <si>
    <t>Интеграции</t>
  </si>
  <si>
    <t>Общесистемное</t>
  </si>
  <si>
    <t>Журнал изменений документа</t>
  </si>
  <si>
    <t>Версия</t>
  </si>
  <si>
    <t>Описание изменений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</si>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</sst>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sz val="10"/>
      <name val="Arial"/>
      <family val="2"/>
    </font>
    <font>
      <b/>
      <sz val="11"/>
      <color rgb="FF1F4E79"/>
      <name val="Arial"/>
      <charset val="1"/>
    </font>
    <font>
      <i/>
      <sz val="9"/>
      <color rgb="FF808080"/>
      <name val="Arial"/>
      <charset val="1"/>
    </font>
    <font>
      <b/>
      <sz val="11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2" fillId="0" borderId="0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0" xfId="0" applyFont="1"/>
    <xf numFmtId="0" fontId="9" fillId="0" borderId="1" xfId="0" applyFont="1" applyBorder="1"/>
    <xf numFmtId="0" fontId="15" fillId="0" borderId="1" xfId="0" applyFont="1" applyBorder="1"/>
  </cellXfs>
  <cellStyles count="1">
    <cellStyle name="Обычный" xfId="0" builtinId="0"/>
  </cellStyles>
  <dxfs count="5">
    <dxf>
      <font>
        <b/>
        <color rgb="FFFFFFFF"/>
      </font>
      <fill>
        <patternFill>
          <bgColor rgb="FFC00000"/>
        </patternFill>
      </fill>
    </dxf>
    <dxf>
      <font>
        <b/>
        <color rgb="FF375623"/>
      </font>
      <fill>
        <patternFill>
          <bgColor rgb="FFC6E0B4"/>
        </patternFill>
      </fill>
    </dxf>
    <dxf>
      <fill>
        <patternFill>
          <bgColor rgb="FFF4B183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2" customWidth="1"/>
    <col min="3" max="3" width="95" customWidth="1"/>
  </cols>
  <sheetData>
    <row r="2" spans="2:3" ht="20.25" x14ac:dyDescent="0.3">
      <c r="B2" s="2" t="s">
        <v>0</v>
      </c>
    </row>
    <row r="3" spans="2:3" x14ac:dyDescent="0.25">
      <c r="B3" s="3" t="s">
        <v>1</v>
      </c>
    </row>
    <row r="5" spans="2:3" x14ac:dyDescent="0.25">
      <c r="B5" s="4" t="s">
        <v>2</v>
      </c>
      <c r="C5" s="5" t="s">
        <v>3</v>
      </c>
    </row>
    <row r="6" spans="2:3" x14ac:dyDescent="0.25">
      <c r="B6" s="4" t="s">
        <v>4</v>
      </c>
      <c r="C6" s="5" t="s">
        <v>5</v>
      </c>
    </row>
    <row r="7" spans="2:3" x14ac:dyDescent="0.25">
      <c r="B7" s="4" t="s">
        <v>6</v>
      </c>
      <c r="C7" s="5" t="s">
        <v>7</v>
      </c>
    </row>
    <row r="8" spans="2:3" x14ac:dyDescent="0.25">
      <c r="B8" s="4" t="s">
        <v>8</v>
      </c>
      <c r="C8" s="5" t="s">
        <v>9</v>
      </c>
    </row>
    <row r="9" spans="2:3" x14ac:dyDescent="0.25">
      <c r="B9" s="4" t="s">
        <v>10</v>
      </c>
      <c r="C9" s="5" t="s">
        <v>11</v>
      </c>
    </row>
    <row r="11" spans="2:3" ht="15.75" x14ac:dyDescent="0.25">
      <c r="B11" s="6" t="s">
        <v>12</v>
      </c>
    </row>
    <row r="12" spans="2:3" ht="63.75" customHeight="1" x14ac:dyDescent="0.25">
      <c r="C12" s="7" t="s">
        <v>13</v>
      </c>
    </row>
    <row r="14" spans="2:3" ht="15.75" x14ac:dyDescent="0.25">
      <c r="B14" s="6" t="s">
        <v>14</v>
      </c>
    </row>
    <row r="15" spans="2:3" x14ac:dyDescent="0.25">
      <c r="B15" s="4" t="s">
        <v>15</v>
      </c>
      <c r="C15" s="8" t="s">
        <v>16</v>
      </c>
    </row>
    <row r="16" spans="2:3" x14ac:dyDescent="0.25">
      <c r="B16" s="4" t="s">
        <v>17</v>
      </c>
      <c r="C16" s="8" t="s">
        <v>18</v>
      </c>
    </row>
    <row r="17" spans="2:3" x14ac:dyDescent="0.25">
      <c r="B17" s="4" t="s">
        <v>19</v>
      </c>
      <c r="C17" s="8" t="s">
        <v>20</v>
      </c>
    </row>
    <row r="18" spans="2:3" x14ac:dyDescent="0.25">
      <c r="B18" s="4" t="s">
        <v>21</v>
      </c>
      <c r="C18" s="8" t="s">
        <v>22</v>
      </c>
    </row>
    <row r="20" spans="2:3" ht="15.75" x14ac:dyDescent="0.25">
      <c r="B20" s="6" t="s">
        <v>23</v>
      </c>
    </row>
    <row r="21" spans="2:3" ht="27.75" customHeight="1" x14ac:dyDescent="0.25">
      <c r="C21" s="8" t="s">
        <v>24</v>
      </c>
    </row>
    <row r="22" spans="2:3" ht="27.75" customHeight="1" x14ac:dyDescent="0.25">
      <c r="C22" s="8" t="s">
        <v>25</v>
      </c>
    </row>
    <row r="23" spans="2:3" ht="27.75" customHeight="1" x14ac:dyDescent="0.25">
      <c r="C23" s="8" t="s">
        <v>26</v>
      </c>
    </row>
    <row r="24" spans="2:3" ht="27.75" customHeight="1" x14ac:dyDescent="0.25">
      <c r="C24" s="8" t="s">
        <v>27</v>
      </c>
    </row>
    <row r="25" spans="2:3" ht="27.75" customHeight="1" x14ac:dyDescent="0.25">
      <c r="C25" s="8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2"/>
  <sheetViews>
    <sheetView showGridLines="0" tabSelected="1" zoomScaleNormal="100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O6" sqref="O6:O7"/>
    </sheetView>
  </sheetViews>
  <sheetFormatPr defaultColWidth="8.7109375" defaultRowHeight="15" x14ac:dyDescent="0.25"/>
  <cols>
    <col min="1" max="1" width="9" customWidth="1"/>
    <col min="2" max="2" width="15" customWidth="1"/>
    <col min="3" max="3" width="16" customWidth="1"/>
    <col min="4" max="4" width="18" customWidth="1"/>
    <col min="5" max="5" width="38" customWidth="1"/>
    <col min="6" max="7" width="18" customWidth="1"/>
    <col min="8" max="8" width="19" customWidth="1"/>
    <col min="9" max="9" width="29.5703125" customWidth="1"/>
    <col min="10" max="10" width="16" customWidth="1"/>
    <col min="11" max="11" width="13.7109375" customWidth="1"/>
    <col min="12" max="14" width="13" customWidth="1"/>
    <col min="15" max="15" width="20" customWidth="1"/>
  </cols>
  <sheetData>
    <row r="1" spans="1:15" ht="18" x14ac:dyDescent="0.25">
      <c r="A1" s="9" t="s">
        <v>29</v>
      </c>
    </row>
    <row r="2" spans="1:15" ht="39.75" customHeight="1" x14ac:dyDescent="0.25">
      <c r="A2" s="10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0" t="s">
        <v>35</v>
      </c>
      <c r="G2" s="10" t="s">
        <v>36</v>
      </c>
      <c r="H2" s="10" t="s">
        <v>37</v>
      </c>
      <c r="I2" s="10" t="s">
        <v>38</v>
      </c>
      <c r="J2" s="10" t="s">
        <v>39</v>
      </c>
      <c r="K2" s="10" t="s">
        <v>40</v>
      </c>
      <c r="L2" s="10" t="s">
        <v>41</v>
      </c>
      <c r="M2" s="10" t="s">
        <v>42</v>
      </c>
      <c r="N2" s="10" t="s">
        <v>43</v>
      </c>
      <c r="O2" s="10" t="s">
        <v>44</v>
      </c>
    </row>
    <row r="3" spans="1:15" ht="25.5" x14ac:dyDescent="0.25">
      <c r="A3" s="11" t="s">
        <v>45</v>
      </c>
      <c r="B3" s="11" t="s">
        <v>9</v>
      </c>
      <c r="C3" s="11" t="s">
        <v>46</v>
      </c>
      <c r="D3" s="11" t="s">
        <v>47</v>
      </c>
      <c r="E3" s="11" t="s">
        <v>48</v>
      </c>
      <c r="F3" s="11" t="s">
        <v>49</v>
      </c>
      <c r="G3" s="11" t="s">
        <v>50</v>
      </c>
      <c r="H3" s="11" t="s">
        <v>51</v>
      </c>
      <c r="I3" s="11" t="s">
        <v>52</v>
      </c>
      <c r="J3" s="11" t="s">
        <v>53</v>
      </c>
      <c r="K3" s="11" t="s">
        <v>9</v>
      </c>
      <c r="L3" s="12" t="str">
        <f t="shared" ref="L3:L66" ca="1" si="0">IFERROR(IF(A3="","",IF(OR(M3="Закрыто",M3="Решено",M3="Отклонено"),"—",IF(N(K3)=0,"",IF(TODAY()&gt;K3,"Просрочено","В срок")))),"")</f>
        <v/>
      </c>
      <c r="M3" s="11" t="s">
        <v>54</v>
      </c>
      <c r="N3" s="11"/>
      <c r="O3" s="11"/>
    </row>
    <row r="4" spans="1:15" ht="25.5" x14ac:dyDescent="0.25">
      <c r="A4" s="11" t="s">
        <v>55</v>
      </c>
      <c r="B4" s="11" t="s">
        <v>9</v>
      </c>
      <c r="C4" s="11" t="s">
        <v>46</v>
      </c>
      <c r="D4" s="11" t="s">
        <v>56</v>
      </c>
      <c r="E4" s="11" t="s">
        <v>57</v>
      </c>
      <c r="F4" s="11" t="s">
        <v>58</v>
      </c>
      <c r="G4" s="11" t="s">
        <v>59</v>
      </c>
      <c r="H4" s="11" t="s">
        <v>60</v>
      </c>
      <c r="I4" s="11" t="s">
        <v>61</v>
      </c>
      <c r="J4" s="11" t="s">
        <v>62</v>
      </c>
      <c r="K4" s="11" t="s">
        <v>9</v>
      </c>
      <c r="L4" s="12" t="str">
        <f t="shared" ca="1" si="0"/>
        <v>—</v>
      </c>
      <c r="M4" s="11" t="s">
        <v>63</v>
      </c>
      <c r="N4" s="11" t="s">
        <v>9</v>
      </c>
      <c r="O4" s="11"/>
    </row>
    <row r="5" spans="1:15" ht="25.5" x14ac:dyDescent="0.25">
      <c r="A5" s="11" t="s">
        <v>64</v>
      </c>
      <c r="B5" s="11" t="s">
        <v>9</v>
      </c>
      <c r="C5" s="11" t="s">
        <v>46</v>
      </c>
      <c r="D5" s="11" t="s">
        <v>65</v>
      </c>
      <c r="E5" s="11" t="s">
        <v>66</v>
      </c>
      <c r="F5" s="11" t="s">
        <v>67</v>
      </c>
      <c r="G5" s="11" t="s">
        <v>68</v>
      </c>
      <c r="H5" s="11" t="s">
        <v>69</v>
      </c>
      <c r="I5" s="11" t="s">
        <v>70</v>
      </c>
      <c r="J5" s="11" t="s">
        <v>71</v>
      </c>
      <c r="K5" s="11" t="s">
        <v>9</v>
      </c>
      <c r="L5" s="12" t="str">
        <f t="shared" ca="1" si="0"/>
        <v/>
      </c>
      <c r="M5" s="11" t="s">
        <v>72</v>
      </c>
      <c r="N5" s="11"/>
      <c r="O5" s="11"/>
    </row>
    <row r="6" spans="1:15" ht="25.5" x14ac:dyDescent="0.25">
      <c r="A6" s="11" t="s">
        <v>73</v>
      </c>
      <c r="B6" s="11" t="s">
        <v>9</v>
      </c>
      <c r="C6" s="11" t="s">
        <v>46</v>
      </c>
      <c r="D6" s="11" t="s">
        <v>74</v>
      </c>
      <c r="E6" s="11" t="s">
        <v>75</v>
      </c>
      <c r="F6" s="11" t="s">
        <v>76</v>
      </c>
      <c r="G6" s="11" t="s">
        <v>77</v>
      </c>
      <c r="H6" s="11" t="s">
        <v>60</v>
      </c>
      <c r="I6" s="11" t="s">
        <v>78</v>
      </c>
      <c r="J6" s="11" t="s">
        <v>79</v>
      </c>
      <c r="K6" s="11" t="s">
        <v>9</v>
      </c>
      <c r="L6" s="12" t="str">
        <f t="shared" ca="1" si="0"/>
        <v/>
      </c>
      <c r="M6" s="11" t="s">
        <v>72</v>
      </c>
      <c r="N6" s="11"/>
      <c r="O6" s="11"/>
    </row>
    <row r="7" spans="1:15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2" t="str">
        <f t="shared" ca="1" si="0"/>
        <v/>
      </c>
      <c r="M7" s="13"/>
      <c r="N7" s="13"/>
      <c r="O7" s="13"/>
    </row>
    <row r="8" spans="1:15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2" t="str">
        <f t="shared" ca="1" si="0"/>
        <v/>
      </c>
      <c r="M8" s="13"/>
      <c r="N8" s="13"/>
      <c r="O8" s="13"/>
    </row>
    <row r="9" spans="1:15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2" t="str">
        <f t="shared" ca="1" si="0"/>
        <v/>
      </c>
      <c r="M9" s="13"/>
      <c r="N9" s="13"/>
      <c r="O9" s="13"/>
    </row>
    <row r="10" spans="1:15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2" t="str">
        <f t="shared" ca="1" si="0"/>
        <v/>
      </c>
      <c r="M10" s="13"/>
      <c r="N10" s="13"/>
      <c r="O10" s="13"/>
    </row>
    <row r="11" spans="1:15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2" t="str">
        <f t="shared" ca="1" si="0"/>
        <v/>
      </c>
      <c r="M11" s="13"/>
      <c r="N11" s="13"/>
      <c r="O11" s="13"/>
    </row>
    <row r="12" spans="1:15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2" t="str">
        <f t="shared" ca="1" si="0"/>
        <v/>
      </c>
      <c r="M12" s="13"/>
      <c r="N12" s="13"/>
      <c r="O12" s="13"/>
    </row>
    <row r="13" spans="1:15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2" t="str">
        <f t="shared" ca="1" si="0"/>
        <v/>
      </c>
      <c r="M13" s="13"/>
      <c r="N13" s="13"/>
      <c r="O13" s="13"/>
    </row>
    <row r="14" spans="1:15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2" t="str">
        <f t="shared" ca="1" si="0"/>
        <v/>
      </c>
      <c r="M14" s="13"/>
      <c r="N14" s="13"/>
      <c r="O14" s="13"/>
    </row>
    <row r="15" spans="1:15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2" t="str">
        <f t="shared" ca="1" si="0"/>
        <v/>
      </c>
      <c r="M15" s="13"/>
      <c r="N15" s="13"/>
      <c r="O15" s="13"/>
    </row>
    <row r="16" spans="1:15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2" t="str">
        <f t="shared" ca="1" si="0"/>
        <v/>
      </c>
      <c r="M16" s="13"/>
      <c r="N16" s="13"/>
      <c r="O16" s="13"/>
    </row>
    <row r="17" spans="1:15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2" t="str">
        <f t="shared" ca="1" si="0"/>
        <v/>
      </c>
      <c r="M17" s="13"/>
      <c r="N17" s="13"/>
      <c r="O17" s="13"/>
    </row>
    <row r="18" spans="1:15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2" t="str">
        <f t="shared" ca="1" si="0"/>
        <v/>
      </c>
      <c r="M18" s="13"/>
      <c r="N18" s="13"/>
      <c r="O18" s="13"/>
    </row>
    <row r="19" spans="1:15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2" t="str">
        <f t="shared" ca="1" si="0"/>
        <v/>
      </c>
      <c r="M19" s="13"/>
      <c r="N19" s="13"/>
      <c r="O19" s="13"/>
    </row>
    <row r="20" spans="1:15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2" t="str">
        <f t="shared" ca="1" si="0"/>
        <v/>
      </c>
      <c r="M20" s="13"/>
      <c r="N20" s="13"/>
      <c r="O20" s="13"/>
    </row>
    <row r="21" spans="1:15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2" t="str">
        <f t="shared" ca="1" si="0"/>
        <v/>
      </c>
      <c r="M21" s="13"/>
      <c r="N21" s="13"/>
      <c r="O21" s="13"/>
    </row>
    <row r="22" spans="1:15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2" t="str">
        <f t="shared" ca="1" si="0"/>
        <v/>
      </c>
      <c r="M22" s="13"/>
      <c r="N22" s="13"/>
      <c r="O22" s="13"/>
    </row>
    <row r="23" spans="1:15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2" t="str">
        <f t="shared" ca="1" si="0"/>
        <v/>
      </c>
      <c r="M23" s="13"/>
      <c r="N23" s="13"/>
      <c r="O23" s="13"/>
    </row>
    <row r="24" spans="1:15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2" t="str">
        <f t="shared" ca="1" si="0"/>
        <v/>
      </c>
      <c r="M24" s="13"/>
      <c r="N24" s="13"/>
      <c r="O24" s="13"/>
    </row>
    <row r="25" spans="1:15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2" t="str">
        <f t="shared" ca="1" si="0"/>
        <v/>
      </c>
      <c r="M25" s="13"/>
      <c r="N25" s="13"/>
      <c r="O25" s="13"/>
    </row>
    <row r="26" spans="1:15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2" t="str">
        <f t="shared" ca="1" si="0"/>
        <v/>
      </c>
      <c r="M26" s="13"/>
      <c r="N26" s="13"/>
      <c r="O26" s="13"/>
    </row>
    <row r="27" spans="1:15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2" t="str">
        <f t="shared" ca="1" si="0"/>
        <v/>
      </c>
      <c r="M27" s="13"/>
      <c r="N27" s="13"/>
      <c r="O27" s="13"/>
    </row>
    <row r="28" spans="1:15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2" t="str">
        <f t="shared" ca="1" si="0"/>
        <v/>
      </c>
      <c r="M28" s="13"/>
      <c r="N28" s="13"/>
      <c r="O28" s="13"/>
    </row>
    <row r="29" spans="1:15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2" t="str">
        <f t="shared" ca="1" si="0"/>
        <v/>
      </c>
      <c r="M29" s="13"/>
      <c r="N29" s="13"/>
      <c r="O29" s="13"/>
    </row>
    <row r="30" spans="1:15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2" t="str">
        <f t="shared" ca="1" si="0"/>
        <v/>
      </c>
      <c r="M30" s="13"/>
      <c r="N30" s="13"/>
      <c r="O30" s="13"/>
    </row>
    <row r="31" spans="1:15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2" t="str">
        <f t="shared" ca="1" si="0"/>
        <v/>
      </c>
      <c r="M31" s="13"/>
      <c r="N31" s="13"/>
      <c r="O31" s="13"/>
    </row>
    <row r="32" spans="1:15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2" t="str">
        <f t="shared" ca="1" si="0"/>
        <v/>
      </c>
      <c r="M32" s="13"/>
      <c r="N32" s="13"/>
      <c r="O32" s="13"/>
    </row>
    <row r="33" spans="1:15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2" t="str">
        <f t="shared" ca="1" si="0"/>
        <v/>
      </c>
      <c r="M33" s="13"/>
      <c r="N33" s="13"/>
      <c r="O33" s="13"/>
    </row>
    <row r="34" spans="1:15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2" t="str">
        <f t="shared" ca="1" si="0"/>
        <v/>
      </c>
      <c r="M34" s="13"/>
      <c r="N34" s="13"/>
      <c r="O34" s="13"/>
    </row>
    <row r="35" spans="1:15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2" t="str">
        <f t="shared" ca="1" si="0"/>
        <v/>
      </c>
      <c r="M35" s="13"/>
      <c r="N35" s="13"/>
      <c r="O35" s="13"/>
    </row>
    <row r="36" spans="1:15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2" t="str">
        <f t="shared" ca="1" si="0"/>
        <v/>
      </c>
      <c r="M36" s="13"/>
      <c r="N36" s="13"/>
      <c r="O36" s="13"/>
    </row>
    <row r="37" spans="1:15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2" t="str">
        <f t="shared" ca="1" si="0"/>
        <v/>
      </c>
      <c r="M37" s="13"/>
      <c r="N37" s="13"/>
      <c r="O37" s="13"/>
    </row>
    <row r="38" spans="1:15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2" t="str">
        <f t="shared" ca="1" si="0"/>
        <v/>
      </c>
      <c r="M38" s="13"/>
      <c r="N38" s="13"/>
      <c r="O38" s="13"/>
    </row>
    <row r="39" spans="1:15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2" t="str">
        <f t="shared" ca="1" si="0"/>
        <v/>
      </c>
      <c r="M39" s="13"/>
      <c r="N39" s="13"/>
      <c r="O39" s="13"/>
    </row>
    <row r="40" spans="1:15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2" t="str">
        <f t="shared" ca="1" si="0"/>
        <v/>
      </c>
      <c r="M40" s="13"/>
      <c r="N40" s="13"/>
      <c r="O40" s="13"/>
    </row>
    <row r="41" spans="1:15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2" t="str">
        <f t="shared" ca="1" si="0"/>
        <v/>
      </c>
      <c r="M41" s="13"/>
      <c r="N41" s="13"/>
      <c r="O41" s="13"/>
    </row>
    <row r="42" spans="1:15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2" t="str">
        <f t="shared" ca="1" si="0"/>
        <v/>
      </c>
      <c r="M42" s="13"/>
      <c r="N42" s="13"/>
      <c r="O42" s="13"/>
    </row>
    <row r="43" spans="1:15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2" t="str">
        <f t="shared" ca="1" si="0"/>
        <v/>
      </c>
      <c r="M43" s="13"/>
      <c r="N43" s="13"/>
      <c r="O43" s="13"/>
    </row>
    <row r="44" spans="1:15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2" t="str">
        <f t="shared" ca="1" si="0"/>
        <v/>
      </c>
      <c r="M44" s="13"/>
      <c r="N44" s="13"/>
      <c r="O44" s="13"/>
    </row>
    <row r="45" spans="1:15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2" t="str">
        <f t="shared" ca="1" si="0"/>
        <v/>
      </c>
      <c r="M45" s="13"/>
      <c r="N45" s="13"/>
      <c r="O45" s="13"/>
    </row>
    <row r="46" spans="1:15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2" t="str">
        <f t="shared" ca="1" si="0"/>
        <v/>
      </c>
      <c r="M46" s="13"/>
      <c r="N46" s="13"/>
      <c r="O46" s="13"/>
    </row>
    <row r="47" spans="1:15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2" t="str">
        <f t="shared" ca="1" si="0"/>
        <v/>
      </c>
      <c r="M47" s="13"/>
      <c r="N47" s="13"/>
      <c r="O47" s="13"/>
    </row>
    <row r="48" spans="1:15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2" t="str">
        <f t="shared" ca="1" si="0"/>
        <v/>
      </c>
      <c r="M48" s="13"/>
      <c r="N48" s="13"/>
      <c r="O48" s="13"/>
    </row>
    <row r="49" spans="1:15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2" t="str">
        <f t="shared" ca="1" si="0"/>
        <v/>
      </c>
      <c r="M49" s="13"/>
      <c r="N49" s="13"/>
      <c r="O49" s="13"/>
    </row>
    <row r="50" spans="1:15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2" t="str">
        <f t="shared" ca="1" si="0"/>
        <v/>
      </c>
      <c r="M50" s="13"/>
      <c r="N50" s="13"/>
      <c r="O50" s="13"/>
    </row>
    <row r="51" spans="1:15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2" t="str">
        <f t="shared" ca="1" si="0"/>
        <v/>
      </c>
      <c r="M51" s="13"/>
      <c r="N51" s="13"/>
      <c r="O51" s="13"/>
    </row>
    <row r="52" spans="1:15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2" t="str">
        <f t="shared" ca="1" si="0"/>
        <v/>
      </c>
      <c r="M52" s="13"/>
      <c r="N52" s="13"/>
      <c r="O52" s="13"/>
    </row>
    <row r="53" spans="1:15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2" t="str">
        <f t="shared" ca="1" si="0"/>
        <v/>
      </c>
      <c r="M53" s="13"/>
      <c r="N53" s="13"/>
      <c r="O53" s="13"/>
    </row>
    <row r="54" spans="1:15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2" t="str">
        <f t="shared" ca="1" si="0"/>
        <v/>
      </c>
      <c r="M54" s="13"/>
      <c r="N54" s="13"/>
      <c r="O54" s="13"/>
    </row>
    <row r="55" spans="1:15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2" t="str">
        <f t="shared" ca="1" si="0"/>
        <v/>
      </c>
      <c r="M55" s="13"/>
      <c r="N55" s="13"/>
      <c r="O55" s="13"/>
    </row>
    <row r="56" spans="1:15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2" t="str">
        <f t="shared" ca="1" si="0"/>
        <v/>
      </c>
      <c r="M56" s="13"/>
      <c r="N56" s="13"/>
      <c r="O56" s="13"/>
    </row>
    <row r="57" spans="1:15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2" t="str">
        <f t="shared" ca="1" si="0"/>
        <v/>
      </c>
      <c r="M57" s="13"/>
      <c r="N57" s="13"/>
      <c r="O57" s="13"/>
    </row>
    <row r="58" spans="1:15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2" t="str">
        <f t="shared" ca="1" si="0"/>
        <v/>
      </c>
      <c r="M58" s="13"/>
      <c r="N58" s="13"/>
      <c r="O58" s="13"/>
    </row>
    <row r="59" spans="1:15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2" t="str">
        <f t="shared" ca="1" si="0"/>
        <v/>
      </c>
      <c r="M59" s="13"/>
      <c r="N59" s="13"/>
      <c r="O59" s="13"/>
    </row>
    <row r="60" spans="1:15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2" t="str">
        <f t="shared" ca="1" si="0"/>
        <v/>
      </c>
      <c r="M60" s="13"/>
      <c r="N60" s="13"/>
      <c r="O60" s="13"/>
    </row>
    <row r="61" spans="1:15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2" t="str">
        <f t="shared" ca="1" si="0"/>
        <v/>
      </c>
      <c r="M61" s="13"/>
      <c r="N61" s="13"/>
      <c r="O61" s="13"/>
    </row>
    <row r="62" spans="1:15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2" t="str">
        <f t="shared" ca="1" si="0"/>
        <v/>
      </c>
      <c r="M62" s="13"/>
      <c r="N62" s="13"/>
      <c r="O62" s="13"/>
    </row>
    <row r="63" spans="1:15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2" t="str">
        <f t="shared" ca="1" si="0"/>
        <v/>
      </c>
      <c r="M63" s="13"/>
      <c r="N63" s="13"/>
      <c r="O63" s="13"/>
    </row>
    <row r="64" spans="1:15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2" t="str">
        <f t="shared" ca="1" si="0"/>
        <v/>
      </c>
      <c r="M64" s="13"/>
      <c r="N64" s="13"/>
      <c r="O64" s="13"/>
    </row>
    <row r="65" spans="1:15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2" t="str">
        <f t="shared" ca="1" si="0"/>
        <v/>
      </c>
      <c r="M65" s="13"/>
      <c r="N65" s="13"/>
      <c r="O65" s="13"/>
    </row>
    <row r="66" spans="1:15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2" t="str">
        <f t="shared" ca="1" si="0"/>
        <v/>
      </c>
      <c r="M66" s="13"/>
      <c r="N66" s="13"/>
      <c r="O66" s="13"/>
    </row>
    <row r="67" spans="1:15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2" t="str">
        <f t="shared" ref="L67:L130" ca="1" si="1">IFERROR(IF(A67="","",IF(OR(M67="Закрыто",M67="Решено",M67="Отклонено"),"—",IF(N(K67)=0,"",IF(TODAY()&gt;K67,"Просрочено","В срок")))),"")</f>
        <v/>
      </c>
      <c r="M67" s="13"/>
      <c r="N67" s="13"/>
      <c r="O67" s="13"/>
    </row>
    <row r="68" spans="1:15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2" t="str">
        <f t="shared" ca="1" si="1"/>
        <v/>
      </c>
      <c r="M68" s="13"/>
      <c r="N68" s="13"/>
      <c r="O68" s="13"/>
    </row>
    <row r="69" spans="1:15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2" t="str">
        <f t="shared" ca="1" si="1"/>
        <v/>
      </c>
      <c r="M69" s="13"/>
      <c r="N69" s="13"/>
      <c r="O69" s="13"/>
    </row>
    <row r="70" spans="1:15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2" t="str">
        <f t="shared" ca="1" si="1"/>
        <v/>
      </c>
      <c r="M70" s="13"/>
      <c r="N70" s="13"/>
      <c r="O70" s="13"/>
    </row>
    <row r="71" spans="1:15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2" t="str">
        <f t="shared" ca="1" si="1"/>
        <v/>
      </c>
      <c r="M71" s="13"/>
      <c r="N71" s="13"/>
      <c r="O71" s="13"/>
    </row>
    <row r="72" spans="1:15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2" t="str">
        <f t="shared" ca="1" si="1"/>
        <v/>
      </c>
      <c r="M72" s="13"/>
      <c r="N72" s="13"/>
      <c r="O72" s="13"/>
    </row>
    <row r="73" spans="1:15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2" t="str">
        <f t="shared" ca="1" si="1"/>
        <v/>
      </c>
      <c r="M73" s="13"/>
      <c r="N73" s="13"/>
      <c r="O73" s="13"/>
    </row>
    <row r="74" spans="1:15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2" t="str">
        <f t="shared" ca="1" si="1"/>
        <v/>
      </c>
      <c r="M74" s="13"/>
      <c r="N74" s="13"/>
      <c r="O74" s="13"/>
    </row>
    <row r="75" spans="1:15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2" t="str">
        <f t="shared" ca="1" si="1"/>
        <v/>
      </c>
      <c r="M75" s="13"/>
      <c r="N75" s="13"/>
      <c r="O75" s="13"/>
    </row>
    <row r="76" spans="1:15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2" t="str">
        <f t="shared" ca="1" si="1"/>
        <v/>
      </c>
      <c r="M76" s="13"/>
      <c r="N76" s="13"/>
      <c r="O76" s="13"/>
    </row>
    <row r="77" spans="1:15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2" t="str">
        <f t="shared" ca="1" si="1"/>
        <v/>
      </c>
      <c r="M77" s="13"/>
      <c r="N77" s="13"/>
      <c r="O77" s="13"/>
    </row>
    <row r="78" spans="1:15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2" t="str">
        <f t="shared" ca="1" si="1"/>
        <v/>
      </c>
      <c r="M78" s="13"/>
      <c r="N78" s="13"/>
      <c r="O78" s="13"/>
    </row>
    <row r="79" spans="1:15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2" t="str">
        <f t="shared" ca="1" si="1"/>
        <v/>
      </c>
      <c r="M79" s="13"/>
      <c r="N79" s="13"/>
      <c r="O79" s="13"/>
    </row>
    <row r="80" spans="1:15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2" t="str">
        <f t="shared" ca="1" si="1"/>
        <v/>
      </c>
      <c r="M80" s="13"/>
      <c r="N80" s="13"/>
      <c r="O80" s="13"/>
    </row>
    <row r="81" spans="1:15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2" t="str">
        <f t="shared" ca="1" si="1"/>
        <v/>
      </c>
      <c r="M81" s="13"/>
      <c r="N81" s="13"/>
      <c r="O81" s="13"/>
    </row>
    <row r="82" spans="1:15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2" t="str">
        <f t="shared" ca="1" si="1"/>
        <v/>
      </c>
      <c r="M82" s="13"/>
      <c r="N82" s="13"/>
      <c r="O82" s="13"/>
    </row>
    <row r="83" spans="1:15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2" t="str">
        <f t="shared" ca="1" si="1"/>
        <v/>
      </c>
      <c r="M83" s="13"/>
      <c r="N83" s="13"/>
      <c r="O83" s="13"/>
    </row>
    <row r="84" spans="1:15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2" t="str">
        <f t="shared" ca="1" si="1"/>
        <v/>
      </c>
      <c r="M84" s="13"/>
      <c r="N84" s="13"/>
      <c r="O84" s="13"/>
    </row>
    <row r="85" spans="1:15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2" t="str">
        <f t="shared" ca="1" si="1"/>
        <v/>
      </c>
      <c r="M85" s="13"/>
      <c r="N85" s="13"/>
      <c r="O85" s="13"/>
    </row>
    <row r="86" spans="1:15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2" t="str">
        <f t="shared" ca="1" si="1"/>
        <v/>
      </c>
      <c r="M86" s="13"/>
      <c r="N86" s="13"/>
      <c r="O86" s="13"/>
    </row>
    <row r="87" spans="1:15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2" t="str">
        <f t="shared" ca="1" si="1"/>
        <v/>
      </c>
      <c r="M87" s="13"/>
      <c r="N87" s="13"/>
      <c r="O87" s="13"/>
    </row>
    <row r="88" spans="1:15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2" t="str">
        <f t="shared" ca="1" si="1"/>
        <v/>
      </c>
      <c r="M88" s="13"/>
      <c r="N88" s="13"/>
      <c r="O88" s="13"/>
    </row>
    <row r="89" spans="1:15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2" t="str">
        <f t="shared" ca="1" si="1"/>
        <v/>
      </c>
      <c r="M89" s="13"/>
      <c r="N89" s="13"/>
      <c r="O89" s="13"/>
    </row>
    <row r="90" spans="1:15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2" t="str">
        <f t="shared" ca="1" si="1"/>
        <v/>
      </c>
      <c r="M90" s="13"/>
      <c r="N90" s="13"/>
      <c r="O90" s="13"/>
    </row>
    <row r="91" spans="1:15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2" t="str">
        <f t="shared" ca="1" si="1"/>
        <v/>
      </c>
      <c r="M91" s="13"/>
      <c r="N91" s="13"/>
      <c r="O91" s="13"/>
    </row>
    <row r="92" spans="1:15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2" t="str">
        <f t="shared" ca="1" si="1"/>
        <v/>
      </c>
      <c r="M92" s="13"/>
      <c r="N92" s="13"/>
      <c r="O92" s="13"/>
    </row>
    <row r="93" spans="1:15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2" t="str">
        <f t="shared" ca="1" si="1"/>
        <v/>
      </c>
      <c r="M93" s="13"/>
      <c r="N93" s="13"/>
      <c r="O93" s="13"/>
    </row>
    <row r="94" spans="1:15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2" t="str">
        <f t="shared" ca="1" si="1"/>
        <v/>
      </c>
      <c r="M94" s="13"/>
      <c r="N94" s="13"/>
      <c r="O94" s="13"/>
    </row>
    <row r="95" spans="1:15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2" t="str">
        <f t="shared" ca="1" si="1"/>
        <v/>
      </c>
      <c r="M95" s="13"/>
      <c r="N95" s="13"/>
      <c r="O95" s="13"/>
    </row>
    <row r="96" spans="1:15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2" t="str">
        <f t="shared" ca="1" si="1"/>
        <v/>
      </c>
      <c r="M96" s="13"/>
      <c r="N96" s="13"/>
      <c r="O96" s="13"/>
    </row>
    <row r="97" spans="1:15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2" t="str">
        <f t="shared" ca="1" si="1"/>
        <v/>
      </c>
      <c r="M97" s="13"/>
      <c r="N97" s="13"/>
      <c r="O97" s="13"/>
    </row>
    <row r="98" spans="1:15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2" t="str">
        <f t="shared" ca="1" si="1"/>
        <v/>
      </c>
      <c r="M98" s="13"/>
      <c r="N98" s="13"/>
      <c r="O98" s="13"/>
    </row>
    <row r="99" spans="1:1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2" t="str">
        <f t="shared" ca="1" si="1"/>
        <v/>
      </c>
      <c r="M99" s="13"/>
      <c r="N99" s="13"/>
      <c r="O99" s="13"/>
    </row>
    <row r="100" spans="1:1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2" t="str">
        <f t="shared" ca="1" si="1"/>
        <v/>
      </c>
      <c r="M100" s="13"/>
      <c r="N100" s="13"/>
      <c r="O100" s="13"/>
    </row>
    <row r="101" spans="1:1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2" t="str">
        <f t="shared" ca="1" si="1"/>
        <v/>
      </c>
      <c r="M101" s="13"/>
      <c r="N101" s="13"/>
      <c r="O101" s="13"/>
    </row>
    <row r="102" spans="1:1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2" t="str">
        <f t="shared" ca="1" si="1"/>
        <v/>
      </c>
      <c r="M102" s="13"/>
      <c r="N102" s="13"/>
      <c r="O102" s="13"/>
    </row>
    <row r="103" spans="1:1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2" t="str">
        <f t="shared" ca="1" si="1"/>
        <v/>
      </c>
      <c r="M103" s="13"/>
      <c r="N103" s="13"/>
      <c r="O103" s="13"/>
    </row>
    <row r="104" spans="1:1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2" t="str">
        <f t="shared" ca="1" si="1"/>
        <v/>
      </c>
      <c r="M104" s="13"/>
      <c r="N104" s="13"/>
      <c r="O104" s="13"/>
    </row>
    <row r="105" spans="1:1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2" t="str">
        <f t="shared" ca="1" si="1"/>
        <v/>
      </c>
      <c r="M105" s="13"/>
      <c r="N105" s="13"/>
      <c r="O105" s="13"/>
    </row>
    <row r="106" spans="1:1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2" t="str">
        <f t="shared" ca="1" si="1"/>
        <v/>
      </c>
      <c r="M106" s="13"/>
      <c r="N106" s="13"/>
      <c r="O106" s="13"/>
    </row>
    <row r="107" spans="1:1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2" t="str">
        <f t="shared" ca="1" si="1"/>
        <v/>
      </c>
      <c r="M107" s="13"/>
      <c r="N107" s="13"/>
      <c r="O107" s="13"/>
    </row>
    <row r="108" spans="1:1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2" t="str">
        <f t="shared" ca="1" si="1"/>
        <v/>
      </c>
      <c r="M108" s="13"/>
      <c r="N108" s="13"/>
      <c r="O108" s="13"/>
    </row>
    <row r="109" spans="1:1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2" t="str">
        <f t="shared" ca="1" si="1"/>
        <v/>
      </c>
      <c r="M109" s="13"/>
      <c r="N109" s="13"/>
      <c r="O109" s="13"/>
    </row>
    <row r="110" spans="1:1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2" t="str">
        <f t="shared" ca="1" si="1"/>
        <v/>
      </c>
      <c r="M110" s="13"/>
      <c r="N110" s="13"/>
      <c r="O110" s="13"/>
    </row>
    <row r="111" spans="1:1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2" t="str">
        <f t="shared" ca="1" si="1"/>
        <v/>
      </c>
      <c r="M111" s="13"/>
      <c r="N111" s="13"/>
      <c r="O111" s="13"/>
    </row>
    <row r="112" spans="1:1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2" t="str">
        <f t="shared" ca="1" si="1"/>
        <v/>
      </c>
      <c r="M112" s="13"/>
      <c r="N112" s="13"/>
      <c r="O112" s="13"/>
    </row>
    <row r="113" spans="1:1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2" t="str">
        <f t="shared" ca="1" si="1"/>
        <v/>
      </c>
      <c r="M113" s="13"/>
      <c r="N113" s="13"/>
      <c r="O113" s="13"/>
    </row>
    <row r="114" spans="1:1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2" t="str">
        <f t="shared" ca="1" si="1"/>
        <v/>
      </c>
      <c r="M114" s="13"/>
      <c r="N114" s="13"/>
      <c r="O114" s="13"/>
    </row>
    <row r="115" spans="1:1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2" t="str">
        <f t="shared" ca="1" si="1"/>
        <v/>
      </c>
      <c r="M115" s="13"/>
      <c r="N115" s="13"/>
      <c r="O115" s="13"/>
    </row>
    <row r="116" spans="1:1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2" t="str">
        <f t="shared" ca="1" si="1"/>
        <v/>
      </c>
      <c r="M116" s="13"/>
      <c r="N116" s="13"/>
      <c r="O116" s="13"/>
    </row>
    <row r="117" spans="1:1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2" t="str">
        <f t="shared" ca="1" si="1"/>
        <v/>
      </c>
      <c r="M117" s="13"/>
      <c r="N117" s="13"/>
      <c r="O117" s="13"/>
    </row>
    <row r="118" spans="1:1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2" t="str">
        <f t="shared" ca="1" si="1"/>
        <v/>
      </c>
      <c r="M118" s="13"/>
      <c r="N118" s="13"/>
      <c r="O118" s="13"/>
    </row>
    <row r="119" spans="1:1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2" t="str">
        <f t="shared" ca="1" si="1"/>
        <v/>
      </c>
      <c r="M119" s="13"/>
      <c r="N119" s="13"/>
      <c r="O119" s="13"/>
    </row>
    <row r="120" spans="1:1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2" t="str">
        <f t="shared" ca="1" si="1"/>
        <v/>
      </c>
      <c r="M120" s="13"/>
      <c r="N120" s="13"/>
      <c r="O120" s="13"/>
    </row>
    <row r="121" spans="1:1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2" t="str">
        <f t="shared" ca="1" si="1"/>
        <v/>
      </c>
      <c r="M121" s="13"/>
      <c r="N121" s="13"/>
      <c r="O121" s="13"/>
    </row>
    <row r="122" spans="1:1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2" t="str">
        <f t="shared" ca="1" si="1"/>
        <v/>
      </c>
      <c r="M122" s="13"/>
      <c r="N122" s="13"/>
      <c r="O122" s="13"/>
    </row>
    <row r="123" spans="1:1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2" t="str">
        <f t="shared" ca="1" si="1"/>
        <v/>
      </c>
      <c r="M123" s="13"/>
      <c r="N123" s="13"/>
      <c r="O123" s="13"/>
    </row>
    <row r="124" spans="1:1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2" t="str">
        <f t="shared" ca="1" si="1"/>
        <v/>
      </c>
      <c r="M124" s="13"/>
      <c r="N124" s="13"/>
      <c r="O124" s="13"/>
    </row>
    <row r="125" spans="1:1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2" t="str">
        <f t="shared" ca="1" si="1"/>
        <v/>
      </c>
      <c r="M125" s="13"/>
      <c r="N125" s="13"/>
      <c r="O125" s="13"/>
    </row>
    <row r="126" spans="1:1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2" t="str">
        <f t="shared" ca="1" si="1"/>
        <v/>
      </c>
      <c r="M126" s="13"/>
      <c r="N126" s="13"/>
      <c r="O126" s="13"/>
    </row>
    <row r="127" spans="1:1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2" t="str">
        <f t="shared" ca="1" si="1"/>
        <v/>
      </c>
      <c r="M127" s="13"/>
      <c r="N127" s="13"/>
      <c r="O127" s="13"/>
    </row>
    <row r="128" spans="1:1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2" t="str">
        <f t="shared" ca="1" si="1"/>
        <v/>
      </c>
      <c r="M128" s="13"/>
      <c r="N128" s="13"/>
      <c r="O128" s="13"/>
    </row>
    <row r="129" spans="1:1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2" t="str">
        <f t="shared" ca="1" si="1"/>
        <v/>
      </c>
      <c r="M129" s="13"/>
      <c r="N129" s="13"/>
      <c r="O129" s="13"/>
    </row>
    <row r="130" spans="1:1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2" t="str">
        <f t="shared" ca="1" si="1"/>
        <v/>
      </c>
      <c r="M130" s="13"/>
      <c r="N130" s="13"/>
      <c r="O130" s="13"/>
    </row>
    <row r="131" spans="1:1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2" t="str">
        <f t="shared" ref="L131:L194" ca="1" si="2">IFERROR(IF(A131="","",IF(OR(M131="Закрыто",M131="Решено",M131="Отклонено"),"—",IF(N(K131)=0,"",IF(TODAY()&gt;K131,"Просрочено","В срок")))),"")</f>
        <v/>
      </c>
      <c r="M131" s="13"/>
      <c r="N131" s="13"/>
      <c r="O131" s="13"/>
    </row>
    <row r="132" spans="1:1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2" t="str">
        <f t="shared" ca="1" si="2"/>
        <v/>
      </c>
      <c r="M132" s="13"/>
      <c r="N132" s="13"/>
      <c r="O132" s="13"/>
    </row>
    <row r="133" spans="1:1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2" t="str">
        <f t="shared" ca="1" si="2"/>
        <v/>
      </c>
      <c r="M133" s="13"/>
      <c r="N133" s="13"/>
      <c r="O133" s="13"/>
    </row>
    <row r="134" spans="1:1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2" t="str">
        <f t="shared" ca="1" si="2"/>
        <v/>
      </c>
      <c r="M134" s="13"/>
      <c r="N134" s="13"/>
      <c r="O134" s="13"/>
    </row>
    <row r="135" spans="1:1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2" t="str">
        <f t="shared" ca="1" si="2"/>
        <v/>
      </c>
      <c r="M135" s="13"/>
      <c r="N135" s="13"/>
      <c r="O135" s="13"/>
    </row>
    <row r="136" spans="1:1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2" t="str">
        <f t="shared" ca="1" si="2"/>
        <v/>
      </c>
      <c r="M136" s="13"/>
      <c r="N136" s="13"/>
      <c r="O136" s="13"/>
    </row>
    <row r="137" spans="1:1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2" t="str">
        <f t="shared" ca="1" si="2"/>
        <v/>
      </c>
      <c r="M137" s="13"/>
      <c r="N137" s="13"/>
      <c r="O137" s="13"/>
    </row>
    <row r="138" spans="1:1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2" t="str">
        <f t="shared" ca="1" si="2"/>
        <v/>
      </c>
      <c r="M138" s="13"/>
      <c r="N138" s="13"/>
      <c r="O138" s="13"/>
    </row>
    <row r="139" spans="1:1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2" t="str">
        <f t="shared" ca="1" si="2"/>
        <v/>
      </c>
      <c r="M139" s="13"/>
      <c r="N139" s="13"/>
      <c r="O139" s="13"/>
    </row>
    <row r="140" spans="1:1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2" t="str">
        <f t="shared" ca="1" si="2"/>
        <v/>
      </c>
      <c r="M140" s="13"/>
      <c r="N140" s="13"/>
      <c r="O140" s="13"/>
    </row>
    <row r="141" spans="1:1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2" t="str">
        <f t="shared" ca="1" si="2"/>
        <v/>
      </c>
      <c r="M141" s="13"/>
      <c r="N141" s="13"/>
      <c r="O141" s="13"/>
    </row>
    <row r="142" spans="1:1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2" t="str">
        <f t="shared" ca="1" si="2"/>
        <v/>
      </c>
      <c r="M142" s="13"/>
      <c r="N142" s="13"/>
      <c r="O142" s="13"/>
    </row>
    <row r="143" spans="1:1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2" t="str">
        <f t="shared" ca="1" si="2"/>
        <v/>
      </c>
      <c r="M143" s="13"/>
      <c r="N143" s="13"/>
      <c r="O143" s="13"/>
    </row>
    <row r="144" spans="1:1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2" t="str">
        <f t="shared" ca="1" si="2"/>
        <v/>
      </c>
      <c r="M144" s="13"/>
      <c r="N144" s="13"/>
      <c r="O144" s="13"/>
    </row>
    <row r="145" spans="1:1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2" t="str">
        <f t="shared" ca="1" si="2"/>
        <v/>
      </c>
      <c r="M145" s="13"/>
      <c r="N145" s="13"/>
      <c r="O145" s="13"/>
    </row>
    <row r="146" spans="1:1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2" t="str">
        <f t="shared" ca="1" si="2"/>
        <v/>
      </c>
      <c r="M146" s="13"/>
      <c r="N146" s="13"/>
      <c r="O146" s="13"/>
    </row>
    <row r="147" spans="1:1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2" t="str">
        <f t="shared" ca="1" si="2"/>
        <v/>
      </c>
      <c r="M147" s="13"/>
      <c r="N147" s="13"/>
      <c r="O147" s="13"/>
    </row>
    <row r="148" spans="1:1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2" t="str">
        <f t="shared" ca="1" si="2"/>
        <v/>
      </c>
      <c r="M148" s="13"/>
      <c r="N148" s="13"/>
      <c r="O148" s="13"/>
    </row>
    <row r="149" spans="1:1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2" t="str">
        <f t="shared" ca="1" si="2"/>
        <v/>
      </c>
      <c r="M149" s="13"/>
      <c r="N149" s="13"/>
      <c r="O149" s="13"/>
    </row>
    <row r="150" spans="1:1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2" t="str">
        <f t="shared" ca="1" si="2"/>
        <v/>
      </c>
      <c r="M150" s="13"/>
      <c r="N150" s="13"/>
      <c r="O150" s="13"/>
    </row>
    <row r="151" spans="1:1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2" t="str">
        <f t="shared" ca="1" si="2"/>
        <v/>
      </c>
      <c r="M151" s="13"/>
      <c r="N151" s="13"/>
      <c r="O151" s="13"/>
    </row>
    <row r="152" spans="1:1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2" t="str">
        <f t="shared" ca="1" si="2"/>
        <v/>
      </c>
      <c r="M152" s="13"/>
      <c r="N152" s="13"/>
      <c r="O152" s="13"/>
    </row>
    <row r="153" spans="1:1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2" t="str">
        <f t="shared" ca="1" si="2"/>
        <v/>
      </c>
      <c r="M153" s="13"/>
      <c r="N153" s="13"/>
      <c r="O153" s="13"/>
    </row>
    <row r="154" spans="1:1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2" t="str">
        <f t="shared" ca="1" si="2"/>
        <v/>
      </c>
      <c r="M154" s="13"/>
      <c r="N154" s="13"/>
      <c r="O154" s="13"/>
    </row>
    <row r="155" spans="1:1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2" t="str">
        <f t="shared" ca="1" si="2"/>
        <v/>
      </c>
      <c r="M155" s="13"/>
      <c r="N155" s="13"/>
      <c r="O155" s="13"/>
    </row>
    <row r="156" spans="1:1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2" t="str">
        <f t="shared" ca="1" si="2"/>
        <v/>
      </c>
      <c r="M156" s="13"/>
      <c r="N156" s="13"/>
      <c r="O156" s="13"/>
    </row>
    <row r="157" spans="1:1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2" t="str">
        <f t="shared" ca="1" si="2"/>
        <v/>
      </c>
      <c r="M157" s="13"/>
      <c r="N157" s="13"/>
      <c r="O157" s="13"/>
    </row>
    <row r="158" spans="1:1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2" t="str">
        <f t="shared" ca="1" si="2"/>
        <v/>
      </c>
      <c r="M158" s="13"/>
      <c r="N158" s="13"/>
      <c r="O158" s="13"/>
    </row>
    <row r="159" spans="1:1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2" t="str">
        <f t="shared" ca="1" si="2"/>
        <v/>
      </c>
      <c r="M159" s="13"/>
      <c r="N159" s="13"/>
      <c r="O159" s="13"/>
    </row>
    <row r="160" spans="1:1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2" t="str">
        <f t="shared" ca="1" si="2"/>
        <v/>
      </c>
      <c r="M160" s="13"/>
      <c r="N160" s="13"/>
      <c r="O160" s="13"/>
    </row>
    <row r="161" spans="1:1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2" t="str">
        <f t="shared" ca="1" si="2"/>
        <v/>
      </c>
      <c r="M161" s="13"/>
      <c r="N161" s="13"/>
      <c r="O161" s="13"/>
    </row>
    <row r="162" spans="1:1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2" t="str">
        <f t="shared" ca="1" si="2"/>
        <v/>
      </c>
      <c r="M162" s="13"/>
      <c r="N162" s="13"/>
      <c r="O162" s="13"/>
    </row>
    <row r="163" spans="1:1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2" t="str">
        <f t="shared" ca="1" si="2"/>
        <v/>
      </c>
      <c r="M163" s="13"/>
      <c r="N163" s="13"/>
      <c r="O163" s="13"/>
    </row>
    <row r="164" spans="1:1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2" t="str">
        <f t="shared" ca="1" si="2"/>
        <v/>
      </c>
      <c r="M164" s="13"/>
      <c r="N164" s="13"/>
      <c r="O164" s="13"/>
    </row>
    <row r="165" spans="1:1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2" t="str">
        <f t="shared" ca="1" si="2"/>
        <v/>
      </c>
      <c r="M165" s="13"/>
      <c r="N165" s="13"/>
      <c r="O165" s="13"/>
    </row>
    <row r="166" spans="1:1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2" t="str">
        <f t="shared" ca="1" si="2"/>
        <v/>
      </c>
      <c r="M166" s="13"/>
      <c r="N166" s="13"/>
      <c r="O166" s="13"/>
    </row>
    <row r="167" spans="1:1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2" t="str">
        <f t="shared" ca="1" si="2"/>
        <v/>
      </c>
      <c r="M167" s="13"/>
      <c r="N167" s="13"/>
      <c r="O167" s="13"/>
    </row>
    <row r="168" spans="1:1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2" t="str">
        <f t="shared" ca="1" si="2"/>
        <v/>
      </c>
      <c r="M168" s="13"/>
      <c r="N168" s="13"/>
      <c r="O168" s="13"/>
    </row>
    <row r="169" spans="1:1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2" t="str">
        <f t="shared" ca="1" si="2"/>
        <v/>
      </c>
      <c r="M169" s="13"/>
      <c r="N169" s="13"/>
      <c r="O169" s="13"/>
    </row>
    <row r="170" spans="1:1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2" t="str">
        <f t="shared" ca="1" si="2"/>
        <v/>
      </c>
      <c r="M170" s="13"/>
      <c r="N170" s="13"/>
      <c r="O170" s="13"/>
    </row>
    <row r="171" spans="1:1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2" t="str">
        <f t="shared" ca="1" si="2"/>
        <v/>
      </c>
      <c r="M171" s="13"/>
      <c r="N171" s="13"/>
      <c r="O171" s="13"/>
    </row>
    <row r="172" spans="1:1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2" t="str">
        <f t="shared" ca="1" si="2"/>
        <v/>
      </c>
      <c r="M172" s="13"/>
      <c r="N172" s="13"/>
      <c r="O172" s="13"/>
    </row>
    <row r="173" spans="1:1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2" t="str">
        <f t="shared" ca="1" si="2"/>
        <v/>
      </c>
      <c r="M173" s="13"/>
      <c r="N173" s="13"/>
      <c r="O173" s="13"/>
    </row>
    <row r="174" spans="1:1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2" t="str">
        <f t="shared" ca="1" si="2"/>
        <v/>
      </c>
      <c r="M174" s="13"/>
      <c r="N174" s="13"/>
      <c r="O174" s="13"/>
    </row>
    <row r="175" spans="1:1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2" t="str">
        <f t="shared" ca="1" si="2"/>
        <v/>
      </c>
      <c r="M175" s="13"/>
      <c r="N175" s="13"/>
      <c r="O175" s="13"/>
    </row>
    <row r="176" spans="1:1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2" t="str">
        <f t="shared" ca="1" si="2"/>
        <v/>
      </c>
      <c r="M176" s="13"/>
      <c r="N176" s="13"/>
      <c r="O176" s="13"/>
    </row>
    <row r="177" spans="1:1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2" t="str">
        <f t="shared" ca="1" si="2"/>
        <v/>
      </c>
      <c r="M177" s="13"/>
      <c r="N177" s="13"/>
      <c r="O177" s="13"/>
    </row>
    <row r="178" spans="1:1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2" t="str">
        <f t="shared" ca="1" si="2"/>
        <v/>
      </c>
      <c r="M178" s="13"/>
      <c r="N178" s="13"/>
      <c r="O178" s="13"/>
    </row>
    <row r="179" spans="1:1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2" t="str">
        <f t="shared" ca="1" si="2"/>
        <v/>
      </c>
      <c r="M179" s="13"/>
      <c r="N179" s="13"/>
      <c r="O179" s="13"/>
    </row>
    <row r="180" spans="1:1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2" t="str">
        <f t="shared" ca="1" si="2"/>
        <v/>
      </c>
      <c r="M180" s="13"/>
      <c r="N180" s="13"/>
      <c r="O180" s="13"/>
    </row>
    <row r="181" spans="1:1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2" t="str">
        <f t="shared" ca="1" si="2"/>
        <v/>
      </c>
      <c r="M181" s="13"/>
      <c r="N181" s="13"/>
      <c r="O181" s="13"/>
    </row>
    <row r="182" spans="1:1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2" t="str">
        <f t="shared" ca="1" si="2"/>
        <v/>
      </c>
      <c r="M182" s="13"/>
      <c r="N182" s="13"/>
      <c r="O182" s="13"/>
    </row>
    <row r="183" spans="1:1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2" t="str">
        <f t="shared" ca="1" si="2"/>
        <v/>
      </c>
      <c r="M183" s="13"/>
      <c r="N183" s="13"/>
      <c r="O183" s="13"/>
    </row>
    <row r="184" spans="1:1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2" t="str">
        <f t="shared" ca="1" si="2"/>
        <v/>
      </c>
      <c r="M184" s="13"/>
      <c r="N184" s="13"/>
      <c r="O184" s="13"/>
    </row>
    <row r="185" spans="1:1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2" t="str">
        <f t="shared" ca="1" si="2"/>
        <v/>
      </c>
      <c r="M185" s="13"/>
      <c r="N185" s="13"/>
      <c r="O185" s="13"/>
    </row>
    <row r="186" spans="1:1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2" t="str">
        <f t="shared" ca="1" si="2"/>
        <v/>
      </c>
      <c r="M186" s="13"/>
      <c r="N186" s="13"/>
      <c r="O186" s="13"/>
    </row>
    <row r="187" spans="1:1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2" t="str">
        <f t="shared" ca="1" si="2"/>
        <v/>
      </c>
      <c r="M187" s="13"/>
      <c r="N187" s="13"/>
      <c r="O187" s="13"/>
    </row>
    <row r="188" spans="1:1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2" t="str">
        <f t="shared" ca="1" si="2"/>
        <v/>
      </c>
      <c r="M188" s="13"/>
      <c r="N188" s="13"/>
      <c r="O188" s="13"/>
    </row>
    <row r="189" spans="1:1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2" t="str">
        <f t="shared" ca="1" si="2"/>
        <v/>
      </c>
      <c r="M189" s="13"/>
      <c r="N189" s="13"/>
      <c r="O189" s="13"/>
    </row>
    <row r="190" spans="1:1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2" t="str">
        <f t="shared" ca="1" si="2"/>
        <v/>
      </c>
      <c r="M190" s="13"/>
      <c r="N190" s="13"/>
      <c r="O190" s="13"/>
    </row>
    <row r="191" spans="1:1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2" t="str">
        <f t="shared" ca="1" si="2"/>
        <v/>
      </c>
      <c r="M191" s="13"/>
      <c r="N191" s="13"/>
      <c r="O191" s="13"/>
    </row>
    <row r="192" spans="1:1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2" t="str">
        <f t="shared" ca="1" si="2"/>
        <v/>
      </c>
      <c r="M192" s="13"/>
      <c r="N192" s="13"/>
      <c r="O192" s="13"/>
    </row>
    <row r="193" spans="1:1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2" t="str">
        <f t="shared" ca="1" si="2"/>
        <v/>
      </c>
      <c r="M193" s="13"/>
      <c r="N193" s="13"/>
      <c r="O193" s="13"/>
    </row>
    <row r="194" spans="1:1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2" t="str">
        <f t="shared" ca="1" si="2"/>
        <v/>
      </c>
      <c r="M194" s="13"/>
      <c r="N194" s="13"/>
      <c r="O194" s="13"/>
    </row>
    <row r="195" spans="1:1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2" t="str">
        <f t="shared" ref="L195:L258" ca="1" si="3">IFERROR(IF(A195="","",IF(OR(M195="Закрыто",M195="Решено",M195="Отклонено"),"—",IF(N(K195)=0,"",IF(TODAY()&gt;K195,"Просрочено","В срок")))),"")</f>
        <v/>
      </c>
      <c r="M195" s="13"/>
      <c r="N195" s="13"/>
      <c r="O195" s="13"/>
    </row>
    <row r="196" spans="1:1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2" t="str">
        <f t="shared" ca="1" si="3"/>
        <v/>
      </c>
      <c r="M196" s="13"/>
      <c r="N196" s="13"/>
      <c r="O196" s="13"/>
    </row>
    <row r="197" spans="1:1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2" t="str">
        <f t="shared" ca="1" si="3"/>
        <v/>
      </c>
      <c r="M197" s="13"/>
      <c r="N197" s="13"/>
      <c r="O197" s="13"/>
    </row>
    <row r="198" spans="1:1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2" t="str">
        <f t="shared" ca="1" si="3"/>
        <v/>
      </c>
      <c r="M198" s="13"/>
      <c r="N198" s="13"/>
      <c r="O198" s="13"/>
    </row>
    <row r="199" spans="1:1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2" t="str">
        <f t="shared" ca="1" si="3"/>
        <v/>
      </c>
      <c r="M199" s="13"/>
      <c r="N199" s="13"/>
      <c r="O199" s="13"/>
    </row>
    <row r="200" spans="1:1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2" t="str">
        <f t="shared" ca="1" si="3"/>
        <v/>
      </c>
      <c r="M200" s="13"/>
      <c r="N200" s="13"/>
      <c r="O200" s="13"/>
    </row>
    <row r="201" spans="1:1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2" t="str">
        <f t="shared" ca="1" si="3"/>
        <v/>
      </c>
      <c r="M201" s="13"/>
      <c r="N201" s="13"/>
      <c r="O201" s="13"/>
    </row>
    <row r="202" spans="1:1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2" t="str">
        <f t="shared" ca="1" si="3"/>
        <v/>
      </c>
      <c r="M202" s="13"/>
      <c r="N202" s="13"/>
      <c r="O202" s="13"/>
    </row>
    <row r="203" spans="1:1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2" t="str">
        <f t="shared" ca="1" si="3"/>
        <v/>
      </c>
      <c r="M203" s="13"/>
      <c r="N203" s="13"/>
      <c r="O203" s="13"/>
    </row>
    <row r="204" spans="1:1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2" t="str">
        <f t="shared" ca="1" si="3"/>
        <v/>
      </c>
      <c r="M204" s="13"/>
      <c r="N204" s="13"/>
      <c r="O204" s="13"/>
    </row>
    <row r="205" spans="1:1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2" t="str">
        <f t="shared" ca="1" si="3"/>
        <v/>
      </c>
      <c r="M205" s="13"/>
      <c r="N205" s="13"/>
      <c r="O205" s="13"/>
    </row>
    <row r="206" spans="1:1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2" t="str">
        <f t="shared" ca="1" si="3"/>
        <v/>
      </c>
      <c r="M206" s="13"/>
      <c r="N206" s="13"/>
      <c r="O206" s="13"/>
    </row>
    <row r="207" spans="1:1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2" t="str">
        <f t="shared" ca="1" si="3"/>
        <v/>
      </c>
      <c r="M207" s="13"/>
      <c r="N207" s="13"/>
      <c r="O207" s="13"/>
    </row>
    <row r="208" spans="1:1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2" t="str">
        <f t="shared" ca="1" si="3"/>
        <v/>
      </c>
      <c r="M208" s="13"/>
      <c r="N208" s="13"/>
      <c r="O208" s="13"/>
    </row>
    <row r="209" spans="1:1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2" t="str">
        <f t="shared" ca="1" si="3"/>
        <v/>
      </c>
      <c r="M209" s="13"/>
      <c r="N209" s="13"/>
      <c r="O209" s="13"/>
    </row>
    <row r="210" spans="1:1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2" t="str">
        <f t="shared" ca="1" si="3"/>
        <v/>
      </c>
      <c r="M210" s="13"/>
      <c r="N210" s="13"/>
      <c r="O210" s="13"/>
    </row>
    <row r="211" spans="1:1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2" t="str">
        <f t="shared" ca="1" si="3"/>
        <v/>
      </c>
      <c r="M211" s="13"/>
      <c r="N211" s="13"/>
      <c r="O211" s="13"/>
    </row>
    <row r="212" spans="1:1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2" t="str">
        <f t="shared" ca="1" si="3"/>
        <v/>
      </c>
      <c r="M212" s="13"/>
      <c r="N212" s="13"/>
      <c r="O212" s="13"/>
    </row>
    <row r="213" spans="1:1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2" t="str">
        <f t="shared" ca="1" si="3"/>
        <v/>
      </c>
      <c r="M213" s="13"/>
      <c r="N213" s="13"/>
      <c r="O213" s="13"/>
    </row>
    <row r="214" spans="1:1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2" t="str">
        <f t="shared" ca="1" si="3"/>
        <v/>
      </c>
      <c r="M214" s="13"/>
      <c r="N214" s="13"/>
      <c r="O214" s="13"/>
    </row>
    <row r="215" spans="1:1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2" t="str">
        <f t="shared" ca="1" si="3"/>
        <v/>
      </c>
      <c r="M215" s="13"/>
      <c r="N215" s="13"/>
      <c r="O215" s="13"/>
    </row>
    <row r="216" spans="1:1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2" t="str">
        <f t="shared" ca="1" si="3"/>
        <v/>
      </c>
      <c r="M216" s="13"/>
      <c r="N216" s="13"/>
      <c r="O216" s="13"/>
    </row>
    <row r="217" spans="1:1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2" t="str">
        <f t="shared" ca="1" si="3"/>
        <v/>
      </c>
      <c r="M217" s="13"/>
      <c r="N217" s="13"/>
      <c r="O217" s="13"/>
    </row>
    <row r="218" spans="1:1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2" t="str">
        <f t="shared" ca="1" si="3"/>
        <v/>
      </c>
      <c r="M218" s="13"/>
      <c r="N218" s="13"/>
      <c r="O218" s="13"/>
    </row>
    <row r="219" spans="1:1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2" t="str">
        <f t="shared" ca="1" si="3"/>
        <v/>
      </c>
      <c r="M219" s="13"/>
      <c r="N219" s="13"/>
      <c r="O219" s="13"/>
    </row>
    <row r="220" spans="1:1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2" t="str">
        <f t="shared" ca="1" si="3"/>
        <v/>
      </c>
      <c r="M220" s="13"/>
      <c r="N220" s="13"/>
      <c r="O220" s="13"/>
    </row>
    <row r="221" spans="1:1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2" t="str">
        <f t="shared" ca="1" si="3"/>
        <v/>
      </c>
      <c r="M221" s="13"/>
      <c r="N221" s="13"/>
      <c r="O221" s="13"/>
    </row>
    <row r="222" spans="1:1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2" t="str">
        <f t="shared" ca="1" si="3"/>
        <v/>
      </c>
      <c r="M222" s="13"/>
      <c r="N222" s="13"/>
      <c r="O222" s="13"/>
    </row>
    <row r="223" spans="1:1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2" t="str">
        <f t="shared" ca="1" si="3"/>
        <v/>
      </c>
      <c r="M223" s="13"/>
      <c r="N223" s="13"/>
      <c r="O223" s="13"/>
    </row>
    <row r="224" spans="1:1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2" t="str">
        <f t="shared" ca="1" si="3"/>
        <v/>
      </c>
      <c r="M224" s="13"/>
      <c r="N224" s="13"/>
      <c r="O224" s="13"/>
    </row>
    <row r="225" spans="1:1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2" t="str">
        <f t="shared" ca="1" si="3"/>
        <v/>
      </c>
      <c r="M225" s="13"/>
      <c r="N225" s="13"/>
      <c r="O225" s="13"/>
    </row>
    <row r="226" spans="1:1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2" t="str">
        <f t="shared" ca="1" si="3"/>
        <v/>
      </c>
      <c r="M226" s="13"/>
      <c r="N226" s="13"/>
      <c r="O226" s="13"/>
    </row>
    <row r="227" spans="1:1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2" t="str">
        <f t="shared" ca="1" si="3"/>
        <v/>
      </c>
      <c r="M227" s="13"/>
      <c r="N227" s="13"/>
      <c r="O227" s="13"/>
    </row>
    <row r="228" spans="1:1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2" t="str">
        <f t="shared" ca="1" si="3"/>
        <v/>
      </c>
      <c r="M228" s="13"/>
      <c r="N228" s="13"/>
      <c r="O228" s="13"/>
    </row>
    <row r="229" spans="1:1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2" t="str">
        <f t="shared" ca="1" si="3"/>
        <v/>
      </c>
      <c r="M229" s="13"/>
      <c r="N229" s="13"/>
      <c r="O229" s="13"/>
    </row>
    <row r="230" spans="1:1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2" t="str">
        <f t="shared" ca="1" si="3"/>
        <v/>
      </c>
      <c r="M230" s="13"/>
      <c r="N230" s="13"/>
      <c r="O230" s="13"/>
    </row>
    <row r="231" spans="1:1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2" t="str">
        <f t="shared" ca="1" si="3"/>
        <v/>
      </c>
      <c r="M231" s="13"/>
      <c r="N231" s="13"/>
      <c r="O231" s="13"/>
    </row>
    <row r="232" spans="1:1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2" t="str">
        <f t="shared" ca="1" si="3"/>
        <v/>
      </c>
      <c r="M232" s="13"/>
      <c r="N232" s="13"/>
      <c r="O232" s="13"/>
    </row>
    <row r="233" spans="1:1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2" t="str">
        <f t="shared" ca="1" si="3"/>
        <v/>
      </c>
      <c r="M233" s="13"/>
      <c r="N233" s="13"/>
      <c r="O233" s="13"/>
    </row>
    <row r="234" spans="1:1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2" t="str">
        <f t="shared" ca="1" si="3"/>
        <v/>
      </c>
      <c r="M234" s="13"/>
      <c r="N234" s="13"/>
      <c r="O234" s="13"/>
    </row>
    <row r="235" spans="1:1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2" t="str">
        <f t="shared" ca="1" si="3"/>
        <v/>
      </c>
      <c r="M235" s="13"/>
      <c r="N235" s="13"/>
      <c r="O235" s="13"/>
    </row>
    <row r="236" spans="1:1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2" t="str">
        <f t="shared" ca="1" si="3"/>
        <v/>
      </c>
      <c r="M236" s="13"/>
      <c r="N236" s="13"/>
      <c r="O236" s="13"/>
    </row>
    <row r="237" spans="1:1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2" t="str">
        <f t="shared" ca="1" si="3"/>
        <v/>
      </c>
      <c r="M237" s="13"/>
      <c r="N237" s="13"/>
      <c r="O237" s="13"/>
    </row>
    <row r="238" spans="1:1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2" t="str">
        <f t="shared" ca="1" si="3"/>
        <v/>
      </c>
      <c r="M238" s="13"/>
      <c r="N238" s="13"/>
      <c r="O238" s="13"/>
    </row>
    <row r="239" spans="1:15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2" t="str">
        <f t="shared" ca="1" si="3"/>
        <v/>
      </c>
      <c r="M239" s="13"/>
      <c r="N239" s="13"/>
      <c r="O239" s="13"/>
    </row>
    <row r="240" spans="1:15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2" t="str">
        <f t="shared" ca="1" si="3"/>
        <v/>
      </c>
      <c r="M240" s="13"/>
      <c r="N240" s="13"/>
      <c r="O240" s="13"/>
    </row>
    <row r="241" spans="1:15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2" t="str">
        <f t="shared" ca="1" si="3"/>
        <v/>
      </c>
      <c r="M241" s="13"/>
      <c r="N241" s="13"/>
      <c r="O241" s="13"/>
    </row>
    <row r="242" spans="1:15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2" t="str">
        <f t="shared" ca="1" si="3"/>
        <v/>
      </c>
      <c r="M242" s="13"/>
      <c r="N242" s="13"/>
      <c r="O242" s="13"/>
    </row>
    <row r="243" spans="1:15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2" t="str">
        <f t="shared" ca="1" si="3"/>
        <v/>
      </c>
      <c r="M243" s="13"/>
      <c r="N243" s="13"/>
      <c r="O243" s="13"/>
    </row>
    <row r="244" spans="1:15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2" t="str">
        <f t="shared" ca="1" si="3"/>
        <v/>
      </c>
      <c r="M244" s="13"/>
      <c r="N244" s="13"/>
      <c r="O244" s="13"/>
    </row>
    <row r="245" spans="1:15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2" t="str">
        <f t="shared" ca="1" si="3"/>
        <v/>
      </c>
      <c r="M245" s="13"/>
      <c r="N245" s="13"/>
      <c r="O245" s="13"/>
    </row>
    <row r="246" spans="1:15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2" t="str">
        <f t="shared" ca="1" si="3"/>
        <v/>
      </c>
      <c r="M246" s="13"/>
      <c r="N246" s="13"/>
      <c r="O246" s="13"/>
    </row>
    <row r="247" spans="1:15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2" t="str">
        <f t="shared" ca="1" si="3"/>
        <v/>
      </c>
      <c r="M247" s="13"/>
      <c r="N247" s="13"/>
      <c r="O247" s="13"/>
    </row>
    <row r="248" spans="1:15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2" t="str">
        <f t="shared" ca="1" si="3"/>
        <v/>
      </c>
      <c r="M248" s="13"/>
      <c r="N248" s="13"/>
      <c r="O248" s="13"/>
    </row>
    <row r="249" spans="1:15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2" t="str">
        <f t="shared" ca="1" si="3"/>
        <v/>
      </c>
      <c r="M249" s="13"/>
      <c r="N249" s="13"/>
      <c r="O249" s="13"/>
    </row>
    <row r="250" spans="1:15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2" t="str">
        <f t="shared" ca="1" si="3"/>
        <v/>
      </c>
      <c r="M250" s="13"/>
      <c r="N250" s="13"/>
      <c r="O250" s="13"/>
    </row>
    <row r="251" spans="1:15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2" t="str">
        <f t="shared" ca="1" si="3"/>
        <v/>
      </c>
      <c r="M251" s="13"/>
      <c r="N251" s="13"/>
      <c r="O251" s="13"/>
    </row>
    <row r="252" spans="1:15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2" t="str">
        <f t="shared" ca="1" si="3"/>
        <v/>
      </c>
      <c r="M252" s="13"/>
      <c r="N252" s="13"/>
      <c r="O252" s="13"/>
    </row>
  </sheetData>
  <autoFilter ref="A2:O252" xr:uid="{00000000-0009-0000-0000-000001000000}"/>
  <conditionalFormatting sqref="L3:L252">
    <cfRule type="cellIs" dxfId="4" priority="2" operator="equal">
      <formula>"Просрочено"</formula>
    </cfRule>
  </conditionalFormatting>
  <conditionalFormatting sqref="H3:H252">
    <cfRule type="cellIs" dxfId="3" priority="3" operator="equal">
      <formula>"Критический"</formula>
    </cfRule>
    <cfRule type="cellIs" dxfId="2" priority="4" operator="equal">
      <formula>"Высокий"</formula>
    </cfRule>
  </conditionalFormatting>
  <conditionalFormatting sqref="M3:M252">
    <cfRule type="cellIs" dxfId="1" priority="5" operator="equal">
      <formula>"Закрыто"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Справочники!$A$2:$A$8</xm:f>
          </x14:formula1>
          <x14:formula2>
            <xm:f>0</xm:f>
          </x14:formula2>
          <xm:sqref>F3:F252</xm:sqref>
        </x14:dataValidation>
        <x14:dataValidation type="list" allowBlank="1" xr:uid="{00000000-0002-0000-0100-000001000000}">
          <x14:formula1>
            <xm:f>Справочники!$B$2:$B$5</xm:f>
          </x14:formula1>
          <x14:formula2>
            <xm:f>0</xm:f>
          </x14:formula2>
          <xm:sqref>H3:H252</xm:sqref>
        </x14:dataValidation>
        <x14:dataValidation type="list" allowBlank="1" xr:uid="{00000000-0002-0000-0100-000002000000}">
          <x14:formula1>
            <xm:f>Справочники!$C$2:$C$6</xm:f>
          </x14:formula1>
          <x14:formula2>
            <xm:f>0</xm:f>
          </x14:formula2>
          <xm:sqref>M3:M252</xm:sqref>
        </x14:dataValidation>
        <x14:dataValidation type="list" allowBlank="1" xr:uid="{00000000-0002-0000-0100-000003000000}">
          <x14:formula1>
            <xm:f>Справочники!$D$2:$D$11</xm:f>
          </x14:formula1>
          <x14:formula2>
            <xm:f>0</xm:f>
          </x14:formula2>
          <xm:sqref>G3:G252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7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6" customWidth="1"/>
    <col min="3" max="3" width="14" customWidth="1"/>
    <col min="4" max="4" width="3" customWidth="1"/>
    <col min="5" max="5" width="18" customWidth="1"/>
    <col min="6" max="6" width="12" customWidth="1"/>
  </cols>
  <sheetData>
    <row r="2" spans="2:6" ht="18" x14ac:dyDescent="0.25">
      <c r="B2" s="9" t="s">
        <v>80</v>
      </c>
    </row>
    <row r="3" spans="2:6" x14ac:dyDescent="0.25">
      <c r="B3" s="3" t="s">
        <v>81</v>
      </c>
    </row>
    <row r="5" spans="2:6" ht="15.75" x14ac:dyDescent="0.25">
      <c r="B5" s="6" t="s">
        <v>82</v>
      </c>
      <c r="E5" s="6" t="s">
        <v>83</v>
      </c>
    </row>
    <row r="6" spans="2:6" x14ac:dyDescent="0.25">
      <c r="B6" s="10" t="s">
        <v>35</v>
      </c>
      <c r="C6" s="10" t="s">
        <v>84</v>
      </c>
      <c r="E6" s="10" t="s">
        <v>42</v>
      </c>
      <c r="F6" s="10" t="s">
        <v>84</v>
      </c>
    </row>
    <row r="7" spans="2:6" x14ac:dyDescent="0.25">
      <c r="B7" s="14" t="s">
        <v>67</v>
      </c>
      <c r="C7" s="15">
        <f>COUNTIF('Журнал замечаний'!$F$3:$F$252,"Дефект")</f>
        <v>1</v>
      </c>
      <c r="E7" s="14" t="s">
        <v>72</v>
      </c>
      <c r="F7" s="15">
        <f>COUNTIF('Журнал замечаний'!$M$3:$M$252,"Открыто")</f>
        <v>2</v>
      </c>
    </row>
    <row r="8" spans="2:6" x14ac:dyDescent="0.25">
      <c r="B8" s="14" t="s">
        <v>58</v>
      </c>
      <c r="C8" s="15">
        <f>COUNTIF('Журнал замечаний'!$F$3:$F$252,"Вопрос обучения")</f>
        <v>1</v>
      </c>
      <c r="E8" s="14" t="s">
        <v>54</v>
      </c>
      <c r="F8" s="15">
        <f>COUNTIF('Журнал замечаний'!$M$3:$M$252,"В работе")</f>
        <v>1</v>
      </c>
    </row>
    <row r="9" spans="2:6" x14ac:dyDescent="0.25">
      <c r="B9" s="14" t="s">
        <v>76</v>
      </c>
      <c r="C9" s="15">
        <f>COUNTIF('Журнал замечаний'!$F$3:$F$252,"Потребность в доработке")</f>
        <v>1</v>
      </c>
      <c r="E9" s="14" t="s">
        <v>63</v>
      </c>
      <c r="F9" s="15">
        <f>COUNTIF('Журнал замечаний'!$M$3:$M$252,"Решено")</f>
        <v>1</v>
      </c>
    </row>
    <row r="10" spans="2:6" x14ac:dyDescent="0.25">
      <c r="B10" s="14" t="s">
        <v>49</v>
      </c>
      <c r="C10" s="15">
        <f>COUNTIF('Журнал замечаний'!$F$3:$F$252,"Данные/НСИ")</f>
        <v>1</v>
      </c>
      <c r="E10" s="14" t="s">
        <v>85</v>
      </c>
      <c r="F10" s="15">
        <f>COUNTIF('Журнал замечаний'!$M$3:$M$252,"Закрыто")</f>
        <v>0</v>
      </c>
    </row>
    <row r="11" spans="2:6" x14ac:dyDescent="0.25">
      <c r="B11" s="14" t="s">
        <v>86</v>
      </c>
      <c r="C11" s="15">
        <f>COUNTIF('Журнал замечаний'!$F$3:$F$252,"Производительность")</f>
        <v>0</v>
      </c>
      <c r="E11" s="14" t="s">
        <v>87</v>
      </c>
      <c r="F11" s="15">
        <f>COUNTIF('Журнал замечаний'!$M$3:$M$252,"Отклонено")</f>
        <v>0</v>
      </c>
    </row>
    <row r="12" spans="2:6" x14ac:dyDescent="0.25">
      <c r="B12" s="14" t="s">
        <v>88</v>
      </c>
      <c r="C12" s="15">
        <f>COUNTIF('Журнал замечаний'!$F$3:$F$252,"Организационное")</f>
        <v>0</v>
      </c>
    </row>
    <row r="13" spans="2:6" x14ac:dyDescent="0.25">
      <c r="B13" s="14" t="s">
        <v>89</v>
      </c>
      <c r="C13" s="15">
        <f>COUNTIF('Журнал замечаний'!$F$3:$F$252,"Прочее")</f>
        <v>0</v>
      </c>
    </row>
    <row r="14" spans="2:6" ht="15" customHeight="1" x14ac:dyDescent="0.25">
      <c r="B14" s="16" t="s">
        <v>90</v>
      </c>
      <c r="C14" s="17">
        <f>COUNTA('Журнал замечаний'!$A$3:$A$252)</f>
        <v>4</v>
      </c>
      <c r="E14" s="1" t="s">
        <v>91</v>
      </c>
      <c r="F14" s="1"/>
    </row>
    <row r="15" spans="2:6" x14ac:dyDescent="0.25">
      <c r="B15" s="16" t="s">
        <v>92</v>
      </c>
      <c r="C15" s="18">
        <f>COUNTIFS('Журнал замечаний'!$H$3:$H$252,"Критический",'Журнал замечаний'!$M$3:$M$252,"&lt;&gt;Закрыто",'Журнал замечаний'!$M$3:$M$252,"&lt;&gt;Решено",'Журнал замечаний'!$M$3:$M$252,"&lt;&gt;Отклонено")</f>
        <v>1</v>
      </c>
      <c r="E15" s="1"/>
      <c r="F15" s="1"/>
    </row>
    <row r="16" spans="2:6" x14ac:dyDescent="0.25">
      <c r="B16" s="16" t="s">
        <v>93</v>
      </c>
      <c r="C16" s="18">
        <f ca="1">COUNTIF('Журнал замечаний'!$L$3:$L$252,"Просрочено")</f>
        <v>0</v>
      </c>
      <c r="E16" s="1"/>
      <c r="F16" s="1"/>
    </row>
    <row r="17" spans="5:6" x14ac:dyDescent="0.25">
      <c r="E17" s="1"/>
      <c r="F17" s="1"/>
    </row>
  </sheetData>
  <mergeCells count="1">
    <mergeCell ref="E14:F17"/>
  </mergeCells>
  <conditionalFormatting sqref="C15">
    <cfRule type="cellIs" dxfId="0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zoomScaleNormal="100" workbookViewId="0"/>
  </sheetViews>
  <sheetFormatPr defaultColWidth="8.7109375" defaultRowHeight="15" x14ac:dyDescent="0.25"/>
  <cols>
    <col min="1" max="4" width="24" customWidth="1"/>
  </cols>
  <sheetData>
    <row r="1" spans="1:4" x14ac:dyDescent="0.25">
      <c r="A1" s="10" t="s">
        <v>35</v>
      </c>
      <c r="B1" s="10" t="s">
        <v>37</v>
      </c>
      <c r="C1" s="10" t="s">
        <v>42</v>
      </c>
      <c r="D1" s="10" t="s">
        <v>36</v>
      </c>
    </row>
    <row r="2" spans="1:4" x14ac:dyDescent="0.25">
      <c r="A2" s="14" t="s">
        <v>67</v>
      </c>
      <c r="B2" s="14" t="s">
        <v>69</v>
      </c>
      <c r="C2" s="14" t="s">
        <v>72</v>
      </c>
      <c r="D2" s="14" t="s">
        <v>68</v>
      </c>
    </row>
    <row r="3" spans="1:4" x14ac:dyDescent="0.25">
      <c r="A3" s="14" t="s">
        <v>58</v>
      </c>
      <c r="B3" s="14" t="s">
        <v>51</v>
      </c>
      <c r="C3" s="14" t="s">
        <v>54</v>
      </c>
      <c r="D3" s="14" t="s">
        <v>50</v>
      </c>
    </row>
    <row r="4" spans="1:4" x14ac:dyDescent="0.25">
      <c r="A4" s="14" t="s">
        <v>76</v>
      </c>
      <c r="B4" s="14" t="s">
        <v>60</v>
      </c>
      <c r="C4" s="14" t="s">
        <v>63</v>
      </c>
      <c r="D4" s="14" t="s">
        <v>94</v>
      </c>
    </row>
    <row r="5" spans="1:4" x14ac:dyDescent="0.25">
      <c r="A5" s="14" t="s">
        <v>49</v>
      </c>
      <c r="B5" s="14" t="s">
        <v>95</v>
      </c>
      <c r="C5" s="14" t="s">
        <v>85</v>
      </c>
      <c r="D5" s="14" t="s">
        <v>59</v>
      </c>
    </row>
    <row r="6" spans="1:4" x14ac:dyDescent="0.25">
      <c r="A6" s="14" t="s">
        <v>86</v>
      </c>
      <c r="C6" s="14" t="s">
        <v>87</v>
      </c>
      <c r="D6" s="14" t="s">
        <v>96</v>
      </c>
    </row>
    <row r="7" spans="1:4" x14ac:dyDescent="0.25">
      <c r="A7" s="14" t="s">
        <v>88</v>
      </c>
      <c r="D7" s="14" t="s">
        <v>77</v>
      </c>
    </row>
    <row r="8" spans="1:4" x14ac:dyDescent="0.25">
      <c r="A8" s="14" t="s">
        <v>89</v>
      </c>
      <c r="D8" s="14" t="s">
        <v>97</v>
      </c>
    </row>
    <row r="9" spans="1:4" x14ac:dyDescent="0.25">
      <c r="D9" s="14" t="s">
        <v>98</v>
      </c>
    </row>
    <row r="10" spans="1:4" x14ac:dyDescent="0.25">
      <c r="D10" s="14" t="s">
        <v>99</v>
      </c>
    </row>
    <row r="11" spans="1:4" x14ac:dyDescent="0.25">
      <c r="D11" s="14" t="s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19" t="s">
        <v>101</v>
      </c>
    </row>
    <row r="2" spans="1:4" x14ac:dyDescent="0.25">
      <c r="A2" s="10" t="s">
        <v>102</v>
      </c>
      <c r="B2" s="10" t="s">
        <v>31</v>
      </c>
      <c r="C2" s="10" t="s">
        <v>103</v>
      </c>
      <c r="D2" s="10" t="s">
        <v>104</v>
      </c>
    </row>
    <row r="3" spans="1:4" x14ac:dyDescent="0.25">
      <c r="A3" s="20" t="s">
        <v>105</v>
      </c>
      <c r="B3" s="20" t="s">
        <v>106</v>
      </c>
      <c r="C3" s="20" t="s">
        <v>107</v>
      </c>
      <c r="D3" s="20" t="s">
        <v>108</v>
      </c>
    </row>
    <row r="4" spans="1:4" x14ac:dyDescent="0.25">
      <c r="A4" s="21"/>
      <c r="B4" s="21"/>
      <c r="C4" s="21"/>
      <c r="D4" s="21"/>
    </row>
    <row r="5" spans="1:4" x14ac:dyDescent="0.25">
      <c r="A5" s="21"/>
      <c r="B5" s="21"/>
      <c r="C5" s="21"/>
      <c r="D5" s="21"/>
    </row>
    <row r="6" spans="1:4" x14ac:dyDescent="0.25">
      <c r="A6" s="21"/>
      <c r="B6" s="21"/>
      <c r="C6" s="21"/>
      <c r="D6" s="21"/>
    </row>
    <row r="7" spans="1:4" x14ac:dyDescent="0.25">
      <c r="A7" s="21"/>
      <c r="B7" s="21"/>
      <c r="C7" s="21"/>
      <c r="D7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Журнал замечаний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Журнал замечаний периода ОПЭ</dc:title>
  <dc:subject/>
  <dc:creator>Халилов Руслан Энверович, руководитель проектов, PMP (PMI)</dc:creator>
  <dc:description/>
  <cp:lastModifiedBy>Руслан Халилов</cp:lastModifiedBy>
  <cp:revision>0</cp:revision>
  <dcterms:created xsi:type="dcterms:W3CDTF">2026-06-21T18:19:14Z</dcterms:created>
  <dcterms:modified xsi:type="dcterms:W3CDTF">2026-06-21T18:48:44Z</dcterms:modified>
  <dc:language>en-US</dc:language>
</cp:coreProperties>
</file>