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C08070AA-E4BF-4DC9-AFFF-F4179D82B3CA}" xr6:coauthVersionLast="47" xr6:coauthVersionMax="47" xr10:uidLastSave="{00000000-0000-0000-0000-000000000000}"/>
  <bookViews>
    <workbookView xWindow="4035" yWindow="2535" windowWidth="25860" windowHeight="16530" tabRatio="500" xr2:uid="{00000000-000D-0000-FFFF-FFFF00000000}"/>
  </bookViews>
  <sheets>
    <sheet name="Инструкция" sheetId="1" r:id="rId1"/>
    <sheet name="RTM" sheetId="2" r:id="rId2"/>
    <sheet name="Сводка покрытия" sheetId="3" r:id="rId3"/>
    <sheet name="Справочники" sheetId="4" r:id="rId4"/>
    <sheet name="Журнал изменений" sheetId="5" r:id="rId5"/>
  </sheets>
  <definedNames>
    <definedName name="_xlnm._FilterDatabase" localSheetId="1" hidden="1">RTM!$A$2:$P$152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3" l="1"/>
  <c r="F25" i="3"/>
  <c r="F24" i="3"/>
  <c r="F23" i="3"/>
  <c r="F22" i="3"/>
  <c r="C22" i="3"/>
  <c r="F21" i="3"/>
  <c r="C21" i="3"/>
  <c r="F20" i="3"/>
  <c r="C20" i="3"/>
  <c r="F19" i="3"/>
  <c r="C19" i="3"/>
  <c r="F18" i="3"/>
  <c r="C18" i="3"/>
  <c r="F17" i="3"/>
  <c r="C17" i="3"/>
  <c r="F16" i="3"/>
  <c r="C16" i="3"/>
  <c r="F10" i="3"/>
  <c r="F9" i="3"/>
  <c r="F8" i="3"/>
  <c r="F7" i="3"/>
  <c r="C6" i="3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C11" i="3" s="1"/>
  <c r="L3" i="2"/>
  <c r="C8" i="3" s="1"/>
  <c r="C7" i="3" l="1"/>
  <c r="C9" i="3"/>
  <c r="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0100-000001000000}">
      <text>
        <r>
          <rPr>
            <sz val="10"/>
            <rFont val="Arial"/>
            <family val="2"/>
          </rPr>
          <t>MoSCoW: Must/Should/Could/Won't (в текущей волне).</t>
        </r>
      </text>
    </comment>
    <comment ref="L2" authorId="0" shapeId="0" xr:uid="{00000000-0006-0000-0100-000002000000}">
      <text>
        <r>
          <rPr>
            <sz val="10"/>
            <rFont val="Arial"/>
            <family val="2"/>
          </rPr>
          <t>Авто: ✓ — требование привязано к бизнес-цели; — разрыв трассировки назад.</t>
        </r>
      </text>
    </comment>
    <comment ref="M2" authorId="0" shapeId="0" xr:uid="{00000000-0006-0000-0100-000003000000}">
      <text>
        <r>
          <rPr>
            <sz val="10"/>
            <rFont val="Arial"/>
            <family val="2"/>
          </rPr>
          <t>Авто: ✓ — требование покрыто тест-кейсом; — разрыв трассировки вперёд.</t>
        </r>
      </text>
    </comment>
  </commentList>
</comments>
</file>

<file path=xl/sharedStrings.xml><?xml version="1.0" encoding="utf-8"?>
<sst xmlns="http://schemas.openxmlformats.org/spreadsheetml/2006/main" count="214" uniqueCount="148">
  <si>
    <t>МАТРИЦА ТРАССИРОВКИ ТРЕБОВАНИЙ (RTM)</t>
  </si>
  <si>
    <t>Requirements Traceability Matrix — разработана на основе PMBOK Guide (8th edition)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</si>
  <si>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</si>
  <si>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</si>
  <si>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</si>
  <si>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</si>
  <si>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</si>
  <si>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</si>
  <si>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</si>
  <si>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</si>
  <si>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</si>
  <si>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[Аналитик / Руководитель проекта]</t>
  </si>
  <si>
    <t>Назначение</t>
  </si>
  <si>
    <t>Матрица обеспечивает сквозную прослеживаемость: бизнес-цель → требование → результат → проектное решение (ЧТЗ) → тест-кейс → критерий приёмки. Позволяет контролировать полноту покрытия (каждое требование протестировано и привязано к цели) и оценивать влияние изменений. Это «живой» документ.</t>
  </si>
  <si>
    <t>Состав листов</t>
  </si>
  <si>
    <t>RTM</t>
  </si>
  <si>
    <t>Основная матрица. Одна строка — одно требование со всей цепочкой трассировки.</t>
  </si>
  <si>
    <t>Сводка покрытия</t>
  </si>
  <si>
    <t>Автоматические индикаторы полноты: требования без тестов, без цели, по статусам/приоритетам.</t>
  </si>
  <si>
    <t>Справочники</t>
  </si>
  <si>
    <t>Списки значений для выпадающих полей.</t>
  </si>
  <si>
    <t>Журнал изменений</t>
  </si>
  <si>
    <t>Регистрация версий документа.</t>
  </si>
  <si>
    <t>Как заполнять</t>
  </si>
  <si>
    <t>•  Каждому требованию присваивается уникальный ID (REQ-NNN). Тип: бизнес / функциональное / нефункциональное / переходное.</t>
  </si>
  <si>
    <t>•  Связь с целью (ID цели из Устава, раздел 4) — трассировка «назад» к обоснованию. Требование без цели подсвечивается.</t>
  </si>
  <si>
    <t>•  Связь с результатом (deliverable), ЧТЗ и подсистемой — трассировка к решению.</t>
  </si>
  <si>
    <t>•  Связь с тест-кейсом (ID) и критерием приёмки — трассировка «вперёд» к проверке. Требование без теста подсвечивается.</t>
  </si>
  <si>
    <t>•  Столбцы «✓ Цель» и «✓ Тест» считаются автоматически: «—» (красным) означает разрыв трассировки, требующий внимания.</t>
  </si>
  <si>
    <t>•  Статус ведите по жизненному циклу требования: Предложено → Согласовано → Реализуется → Реализовано → Проверено → Отклонено.</t>
  </si>
  <si>
    <t>Матрица трассировки требований</t>
  </si>
  <si>
    <t>REQ ID</t>
  </si>
  <si>
    <t>Требование (формулировка)</t>
  </si>
  <si>
    <t>Тип</t>
  </si>
  <si>
    <t>Приоритет</t>
  </si>
  <si>
    <t>Подсистема</t>
  </si>
  <si>
    <t>Источник</t>
  </si>
  <si>
    <t>← Цель (Устав р.4)</t>
  </si>
  <si>
    <t>← Результат (Deliverable)</t>
  </si>
  <si>
    <t>→ Решение / ЧТЗ</t>
  </si>
  <si>
    <t>→ Тест-кейс (ID)</t>
  </si>
  <si>
    <t>→ Критерий приёмки</t>
  </si>
  <si>
    <t>✓ Цель</t>
  </si>
  <si>
    <t>✓ Тест</t>
  </si>
  <si>
    <t>Статус</t>
  </si>
  <si>
    <t>Владелец</t>
  </si>
  <si>
    <t>Примечание</t>
  </si>
  <si>
    <t>REQ-001</t>
  </si>
  <si>
    <t>Система обеспечивает единый план счетов и учётную политику для всех юрлиц холдинга</t>
  </si>
  <si>
    <t>Бизнес-требование</t>
  </si>
  <si>
    <t>Must</t>
  </si>
  <si>
    <t>Регламентированный учёт</t>
  </si>
  <si>
    <t>Устав</t>
  </si>
  <si>
    <t>G-01</t>
  </si>
  <si>
    <t>Работающая конфигурация</t>
  </si>
  <si>
    <t>ЧТЗ-02</t>
  </si>
  <si>
    <t>TC-015</t>
  </si>
  <si>
    <t>Консолидация формируется без ручных корректировок</t>
  </si>
  <si>
    <t>Согласовано</t>
  </si>
  <si>
    <t>[Владелец процесса]</t>
  </si>
  <si>
    <t>REQ-002</t>
  </si>
  <si>
    <t>Система рассчитывает фактическую себестоимость продукции по полному производственному циклу</t>
  </si>
  <si>
    <t>Функциональное</t>
  </si>
  <si>
    <t>Производство</t>
  </si>
  <si>
    <t>Обследование</t>
  </si>
  <si>
    <t>G-03</t>
  </si>
  <si>
    <t>ЧТЗ-04</t>
  </si>
  <si>
    <t>TC-031</t>
  </si>
  <si>
    <t>Расчёт совпадает с эталоном на тестовых данных</t>
  </si>
  <si>
    <t>Реализуется</t>
  </si>
  <si>
    <t>REQ-003</t>
  </si>
  <si>
    <t>Система формирует консолидированную отчётность холдинга в срок не более [N] раб. дней</t>
  </si>
  <si>
    <t>Нефункциональное</t>
  </si>
  <si>
    <t>Консолидация (1С:УХ)</t>
  </si>
  <si>
    <t>G-02</t>
  </si>
  <si>
    <t>ЧТЗ-03</t>
  </si>
  <si>
    <t>TC-040</t>
  </si>
  <si>
    <t>Закрытие периода ≤ N дней на приёмочных данных</t>
  </si>
  <si>
    <t>Предложено</t>
  </si>
  <si>
    <t>[Финансовая служба]</t>
  </si>
  <si>
    <t>REQ-004</t>
  </si>
  <si>
    <t>Система обеспечивает обмен данными с MES в режиме [онлайн/пакетный] с гарантированной доставкой</t>
  </si>
  <si>
    <t>Should</t>
  </si>
  <si>
    <t>Интеграции</t>
  </si>
  <si>
    <t>Воркшоп</t>
  </si>
  <si>
    <t>Реализованные интеграции</t>
  </si>
  <si>
    <t>ЧТЗ-11 (интеграция MES)</t>
  </si>
  <si>
    <t>TC-052</t>
  </si>
  <si>
    <t>Контрольная сверка объёмов обмена без расхождений</t>
  </si>
  <si>
    <t>[Архитектор]</t>
  </si>
  <si>
    <t>REQ-005</t>
  </si>
  <si>
    <t>Перенос остатков из систем-источников выполняется с обязательной сверкой и подтверждением</t>
  </si>
  <si>
    <t>Переходное (миграция/обучение)</t>
  </si>
  <si>
    <t>Миграция</t>
  </si>
  <si>
    <t>Перенесённые данные</t>
  </si>
  <si>
    <t>Концепция миграции</t>
  </si>
  <si>
    <t>TC-070</t>
  </si>
  <si>
    <t>Протокол сверки подписан владельцами данных</t>
  </si>
  <si>
    <t>[Архитектор данных]</t>
  </si>
  <si>
    <t>REQ-006</t>
  </si>
  <si>
    <t>Время отклика ключевых операций не превышает [X] сек при пиковой нагрузке [Y] польз.</t>
  </si>
  <si>
    <t>Общесистемное</t>
  </si>
  <si>
    <t>Регламент Заказчика</t>
  </si>
  <si>
    <t>Проектные решения</t>
  </si>
  <si>
    <t>TC-085</t>
  </si>
  <si>
    <t>Нагрузочный тест подтверждает целевые значения</t>
  </si>
  <si>
    <t>[ИТ-служба]</t>
  </si>
  <si>
    <t>Нет привязки к цели — проверить</t>
  </si>
  <si>
    <t>Сводка покрытия требований</t>
  </si>
  <si>
    <t>Считается автоматически по листу «RTM». Контроль полноты трассировки.</t>
  </si>
  <si>
    <t>Полнота трассировки</t>
  </si>
  <si>
    <t>По приоритету (MoSCoW)</t>
  </si>
  <si>
    <t>Всего требований</t>
  </si>
  <si>
    <t>Кол-во</t>
  </si>
  <si>
    <t>Привязано к цели (✓)</t>
  </si>
  <si>
    <t>Без привязки к цели (—)</t>
  </si>
  <si>
    <t>Покрыто тестом (✓)</t>
  </si>
  <si>
    <t>Could</t>
  </si>
  <si>
    <t>Не покрыто тестом (—)</t>
  </si>
  <si>
    <t>Won't (этой волны)</t>
  </si>
  <si>
    <t>% покрытия тестами</t>
  </si>
  <si>
    <t>По статусу</t>
  </si>
  <si>
    <t>По подсистеме</t>
  </si>
  <si>
    <t>Финансы и казначейство</t>
  </si>
  <si>
    <t>Реализовано</t>
  </si>
  <si>
    <t>Проверено</t>
  </si>
  <si>
    <t>Закупки/склад</t>
  </si>
  <si>
    <t>Отклонено</t>
  </si>
  <si>
    <t>Продажи</t>
  </si>
  <si>
    <t>Отложено</t>
  </si>
  <si>
    <t>HR/ЗП</t>
  </si>
  <si>
    <t>НСИ</t>
  </si>
  <si>
    <t>Тип требования</t>
  </si>
  <si>
    <t>Приоритет (MoSCoW)</t>
  </si>
  <si>
    <t>Требование к решению</t>
  </si>
  <si>
    <t>Законодательство</t>
  </si>
  <si>
    <t>Требование к проекту</t>
  </si>
  <si>
    <t>Вендор 1С</t>
  </si>
  <si>
    <t>Заинтересованная сторона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</si>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</sst>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/>
    <xf numFmtId="0" fontId="10" fillId="0" borderId="1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2" fillId="0" borderId="0" xfId="0" applyFont="1"/>
    <xf numFmtId="0" fontId="9" fillId="0" borderId="1" xfId="0" applyFont="1" applyBorder="1"/>
    <xf numFmtId="0" fontId="13" fillId="0" borderId="1" xfId="0" applyFont="1" applyBorder="1"/>
  </cellXfs>
  <cellStyles count="1">
    <cellStyle name="Обычный" xfId="0" builtinId="0"/>
  </cellStyles>
  <dxfs count="6">
    <dxf>
      <font>
        <b/>
        <color rgb="FFC00000"/>
      </font>
      <fill>
        <patternFill>
          <bgColor rgb="FFF4B183"/>
        </patternFill>
      </fill>
    </dxf>
    <dxf>
      <font>
        <b/>
        <color rgb="FFC00000"/>
      </font>
      <fill>
        <patternFill>
          <bgColor rgb="FFF4B183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B183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60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31.5" customHeight="1" x14ac:dyDescent="0.25">
      <c r="C21" s="7" t="s">
        <v>24</v>
      </c>
    </row>
    <row r="22" spans="2:3" ht="31.5" customHeight="1" x14ac:dyDescent="0.25">
      <c r="C22" s="7" t="s">
        <v>25</v>
      </c>
    </row>
    <row r="23" spans="2:3" ht="31.5" customHeight="1" x14ac:dyDescent="0.25">
      <c r="C23" s="7" t="s">
        <v>26</v>
      </c>
    </row>
    <row r="24" spans="2:3" ht="31.5" customHeight="1" x14ac:dyDescent="0.25">
      <c r="C24" s="7" t="s">
        <v>27</v>
      </c>
    </row>
    <row r="25" spans="2:3" ht="31.5" customHeight="1" x14ac:dyDescent="0.25">
      <c r="C25" s="7" t="s">
        <v>28</v>
      </c>
    </row>
    <row r="26" spans="2:3" ht="31.5" customHeight="1" x14ac:dyDescent="0.25">
      <c r="C26" s="7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10" customWidth="1"/>
    <col min="2" max="2" width="40" customWidth="1"/>
    <col min="3" max="3" width="18" customWidth="1"/>
    <col min="4" max="4" width="14" customWidth="1"/>
    <col min="5" max="5" width="18" customWidth="1"/>
    <col min="6" max="6" width="16" customWidth="1"/>
    <col min="7" max="7" width="14" customWidth="1"/>
    <col min="8" max="9" width="18" customWidth="1"/>
    <col min="10" max="10" width="16" customWidth="1"/>
    <col min="11" max="11" width="22" customWidth="1"/>
    <col min="12" max="13" width="9" customWidth="1"/>
    <col min="14" max="14" width="15" customWidth="1"/>
    <col min="15" max="15" width="16" customWidth="1"/>
    <col min="16" max="16" width="24" customWidth="1"/>
  </cols>
  <sheetData>
    <row r="1" spans="1:16" ht="18" x14ac:dyDescent="0.25">
      <c r="A1" s="8" t="s">
        <v>30</v>
      </c>
    </row>
    <row r="2" spans="1:16" ht="39.75" customHeight="1" x14ac:dyDescent="0.25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</row>
    <row r="3" spans="1:16" ht="38.25" x14ac:dyDescent="0.25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57</v>
      </c>
      <c r="L3" s="11" t="str">
        <f t="shared" ref="L3:L34" si="0">IF(A3="","",IF(G3&lt;&gt;"","✓","—"))</f>
        <v>✓</v>
      </c>
      <c r="M3" s="11" t="str">
        <f t="shared" ref="M3:M34" si="1">IF(A3="","",IF(J3&lt;&gt;"","✓","—"))</f>
        <v>✓</v>
      </c>
      <c r="N3" s="10" t="s">
        <v>58</v>
      </c>
      <c r="O3" s="10" t="s">
        <v>59</v>
      </c>
      <c r="P3" s="10"/>
    </row>
    <row r="4" spans="1:16" ht="38.25" x14ac:dyDescent="0.25">
      <c r="A4" s="10" t="s">
        <v>60</v>
      </c>
      <c r="B4" s="10" t="s">
        <v>61</v>
      </c>
      <c r="C4" s="10" t="s">
        <v>62</v>
      </c>
      <c r="D4" s="10" t="s">
        <v>50</v>
      </c>
      <c r="E4" s="10" t="s">
        <v>63</v>
      </c>
      <c r="F4" s="10" t="s">
        <v>64</v>
      </c>
      <c r="G4" s="10" t="s">
        <v>65</v>
      </c>
      <c r="H4" s="10" t="s">
        <v>54</v>
      </c>
      <c r="I4" s="10" t="s">
        <v>66</v>
      </c>
      <c r="J4" s="10" t="s">
        <v>67</v>
      </c>
      <c r="K4" s="10" t="s">
        <v>68</v>
      </c>
      <c r="L4" s="11" t="str">
        <f t="shared" si="0"/>
        <v>✓</v>
      </c>
      <c r="M4" s="11" t="str">
        <f t="shared" si="1"/>
        <v>✓</v>
      </c>
      <c r="N4" s="10" t="s">
        <v>69</v>
      </c>
      <c r="O4" s="10" t="s">
        <v>59</v>
      </c>
      <c r="P4" s="10"/>
    </row>
    <row r="5" spans="1:16" ht="38.25" x14ac:dyDescent="0.25">
      <c r="A5" s="10" t="s">
        <v>70</v>
      </c>
      <c r="B5" s="10" t="s">
        <v>71</v>
      </c>
      <c r="C5" s="10" t="s">
        <v>72</v>
      </c>
      <c r="D5" s="10" t="s">
        <v>50</v>
      </c>
      <c r="E5" s="10" t="s">
        <v>73</v>
      </c>
      <c r="F5" s="10" t="s">
        <v>52</v>
      </c>
      <c r="G5" s="10" t="s">
        <v>74</v>
      </c>
      <c r="H5" s="10" t="s">
        <v>54</v>
      </c>
      <c r="I5" s="10" t="s">
        <v>75</v>
      </c>
      <c r="J5" s="10" t="s">
        <v>76</v>
      </c>
      <c r="K5" s="10" t="s">
        <v>77</v>
      </c>
      <c r="L5" s="11" t="str">
        <f t="shared" si="0"/>
        <v>✓</v>
      </c>
      <c r="M5" s="11" t="str">
        <f t="shared" si="1"/>
        <v>✓</v>
      </c>
      <c r="N5" s="10" t="s">
        <v>78</v>
      </c>
      <c r="O5" s="10" t="s">
        <v>79</v>
      </c>
      <c r="P5" s="10"/>
    </row>
    <row r="6" spans="1:16" ht="38.25" x14ac:dyDescent="0.25">
      <c r="A6" s="10" t="s">
        <v>80</v>
      </c>
      <c r="B6" s="10" t="s">
        <v>81</v>
      </c>
      <c r="C6" s="10" t="s">
        <v>62</v>
      </c>
      <c r="D6" s="10" t="s">
        <v>82</v>
      </c>
      <c r="E6" s="10" t="s">
        <v>83</v>
      </c>
      <c r="F6" s="10" t="s">
        <v>84</v>
      </c>
      <c r="G6" s="10" t="s">
        <v>65</v>
      </c>
      <c r="H6" s="10" t="s">
        <v>85</v>
      </c>
      <c r="I6" s="10" t="s">
        <v>86</v>
      </c>
      <c r="J6" s="10" t="s">
        <v>87</v>
      </c>
      <c r="K6" s="10" t="s">
        <v>88</v>
      </c>
      <c r="L6" s="11" t="str">
        <f t="shared" si="0"/>
        <v>✓</v>
      </c>
      <c r="M6" s="11" t="str">
        <f t="shared" si="1"/>
        <v>✓</v>
      </c>
      <c r="N6" s="10" t="s">
        <v>78</v>
      </c>
      <c r="O6" s="10" t="s">
        <v>89</v>
      </c>
      <c r="P6" s="10"/>
    </row>
    <row r="7" spans="1:16" ht="38.25" x14ac:dyDescent="0.25">
      <c r="A7" s="10" t="s">
        <v>90</v>
      </c>
      <c r="B7" s="10" t="s">
        <v>91</v>
      </c>
      <c r="C7" s="10" t="s">
        <v>92</v>
      </c>
      <c r="D7" s="10" t="s">
        <v>50</v>
      </c>
      <c r="E7" s="10" t="s">
        <v>93</v>
      </c>
      <c r="F7" s="10" t="s">
        <v>64</v>
      </c>
      <c r="G7" s="10" t="s">
        <v>53</v>
      </c>
      <c r="H7" s="10" t="s">
        <v>94</v>
      </c>
      <c r="I7" s="10" t="s">
        <v>95</v>
      </c>
      <c r="J7" s="10" t="s">
        <v>96</v>
      </c>
      <c r="K7" s="10" t="s">
        <v>97</v>
      </c>
      <c r="L7" s="11" t="str">
        <f t="shared" si="0"/>
        <v>✓</v>
      </c>
      <c r="M7" s="11" t="str">
        <f t="shared" si="1"/>
        <v>✓</v>
      </c>
      <c r="N7" s="10" t="s">
        <v>58</v>
      </c>
      <c r="O7" s="10" t="s">
        <v>98</v>
      </c>
      <c r="P7" s="10"/>
    </row>
    <row r="8" spans="1:16" ht="38.25" x14ac:dyDescent="0.25">
      <c r="A8" s="10" t="s">
        <v>99</v>
      </c>
      <c r="B8" s="10" t="s">
        <v>100</v>
      </c>
      <c r="C8" s="10" t="s">
        <v>72</v>
      </c>
      <c r="D8" s="10" t="s">
        <v>82</v>
      </c>
      <c r="E8" s="10" t="s">
        <v>101</v>
      </c>
      <c r="F8" s="10" t="s">
        <v>102</v>
      </c>
      <c r="G8" s="10"/>
      <c r="H8" s="10" t="s">
        <v>54</v>
      </c>
      <c r="I8" s="10" t="s">
        <v>103</v>
      </c>
      <c r="J8" s="10" t="s">
        <v>104</v>
      </c>
      <c r="K8" s="10" t="s">
        <v>105</v>
      </c>
      <c r="L8" s="11" t="str">
        <f t="shared" si="0"/>
        <v>—</v>
      </c>
      <c r="M8" s="11" t="str">
        <f t="shared" si="1"/>
        <v>✓</v>
      </c>
      <c r="N8" s="10" t="s">
        <v>78</v>
      </c>
      <c r="O8" s="10" t="s">
        <v>106</v>
      </c>
      <c r="P8" s="10" t="s">
        <v>107</v>
      </c>
    </row>
    <row r="9" spans="1:16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1" t="str">
        <f t="shared" si="0"/>
        <v/>
      </c>
      <c r="M9" s="11" t="str">
        <f t="shared" si="1"/>
        <v/>
      </c>
      <c r="N9" s="12"/>
      <c r="O9" s="12"/>
      <c r="P9" s="12"/>
    </row>
    <row r="10" spans="1:16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1" t="str">
        <f t="shared" si="0"/>
        <v/>
      </c>
      <c r="M10" s="11" t="str">
        <f t="shared" si="1"/>
        <v/>
      </c>
      <c r="N10" s="12"/>
      <c r="O10" s="12"/>
      <c r="P10" s="12"/>
    </row>
    <row r="11" spans="1:16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1" t="str">
        <f t="shared" si="0"/>
        <v/>
      </c>
      <c r="M11" s="11" t="str">
        <f t="shared" si="1"/>
        <v/>
      </c>
      <c r="N11" s="12"/>
      <c r="O11" s="12"/>
      <c r="P11" s="12"/>
    </row>
    <row r="12" spans="1:16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1" t="str">
        <f t="shared" si="0"/>
        <v/>
      </c>
      <c r="M12" s="11" t="str">
        <f t="shared" si="1"/>
        <v/>
      </c>
      <c r="N12" s="12"/>
      <c r="O12" s="12"/>
      <c r="P12" s="12"/>
    </row>
    <row r="13" spans="1:16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1" t="str">
        <f t="shared" si="0"/>
        <v/>
      </c>
      <c r="M13" s="11" t="str">
        <f t="shared" si="1"/>
        <v/>
      </c>
      <c r="N13" s="12"/>
      <c r="O13" s="12"/>
      <c r="P13" s="12"/>
    </row>
    <row r="14" spans="1:16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1" t="str">
        <f t="shared" si="0"/>
        <v/>
      </c>
      <c r="M14" s="11" t="str">
        <f t="shared" si="1"/>
        <v/>
      </c>
      <c r="N14" s="12"/>
      <c r="O14" s="12"/>
      <c r="P14" s="12"/>
    </row>
    <row r="15" spans="1:16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1" t="str">
        <f t="shared" si="0"/>
        <v/>
      </c>
      <c r="M15" s="11" t="str">
        <f t="shared" si="1"/>
        <v/>
      </c>
      <c r="N15" s="12"/>
      <c r="O15" s="12"/>
      <c r="P15" s="12"/>
    </row>
    <row r="16" spans="1:16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1" t="str">
        <f t="shared" si="0"/>
        <v/>
      </c>
      <c r="M16" s="11" t="str">
        <f t="shared" si="1"/>
        <v/>
      </c>
      <c r="N16" s="12"/>
      <c r="O16" s="12"/>
      <c r="P16" s="12"/>
    </row>
    <row r="17" spans="1:16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1" t="str">
        <f t="shared" si="0"/>
        <v/>
      </c>
      <c r="M17" s="11" t="str">
        <f t="shared" si="1"/>
        <v/>
      </c>
      <c r="N17" s="12"/>
      <c r="O17" s="12"/>
      <c r="P17" s="12"/>
    </row>
    <row r="18" spans="1:16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1" t="str">
        <f t="shared" si="0"/>
        <v/>
      </c>
      <c r="M18" s="11" t="str">
        <f t="shared" si="1"/>
        <v/>
      </c>
      <c r="N18" s="12"/>
      <c r="O18" s="12"/>
      <c r="P18" s="12"/>
    </row>
    <row r="19" spans="1:16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1" t="str">
        <f t="shared" si="0"/>
        <v/>
      </c>
      <c r="M19" s="11" t="str">
        <f t="shared" si="1"/>
        <v/>
      </c>
      <c r="N19" s="12"/>
      <c r="O19" s="12"/>
      <c r="P19" s="12"/>
    </row>
    <row r="20" spans="1:16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1" t="str">
        <f t="shared" si="0"/>
        <v/>
      </c>
      <c r="M20" s="11" t="str">
        <f t="shared" si="1"/>
        <v/>
      </c>
      <c r="N20" s="12"/>
      <c r="O20" s="12"/>
      <c r="P20" s="12"/>
    </row>
    <row r="21" spans="1:16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1" t="str">
        <f t="shared" si="0"/>
        <v/>
      </c>
      <c r="M21" s="11" t="str">
        <f t="shared" si="1"/>
        <v/>
      </c>
      <c r="N21" s="12"/>
      <c r="O21" s="12"/>
      <c r="P21" s="12"/>
    </row>
    <row r="22" spans="1:16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1" t="str">
        <f t="shared" si="0"/>
        <v/>
      </c>
      <c r="M22" s="11" t="str">
        <f t="shared" si="1"/>
        <v/>
      </c>
      <c r="N22" s="12"/>
      <c r="O22" s="12"/>
      <c r="P22" s="12"/>
    </row>
    <row r="23" spans="1:16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1" t="str">
        <f t="shared" si="0"/>
        <v/>
      </c>
      <c r="M23" s="11" t="str">
        <f t="shared" si="1"/>
        <v/>
      </c>
      <c r="N23" s="12"/>
      <c r="O23" s="12"/>
      <c r="P23" s="12"/>
    </row>
    <row r="24" spans="1:1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1" t="str">
        <f t="shared" si="0"/>
        <v/>
      </c>
      <c r="M24" s="11" t="str">
        <f t="shared" si="1"/>
        <v/>
      </c>
      <c r="N24" s="12"/>
      <c r="O24" s="12"/>
      <c r="P24" s="12"/>
    </row>
    <row r="25" spans="1:1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 t="str">
        <f t="shared" si="0"/>
        <v/>
      </c>
      <c r="M25" s="11" t="str">
        <f t="shared" si="1"/>
        <v/>
      </c>
      <c r="N25" s="12"/>
      <c r="O25" s="12"/>
      <c r="P25" s="12"/>
    </row>
    <row r="26" spans="1:1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1" t="str">
        <f t="shared" si="0"/>
        <v/>
      </c>
      <c r="M26" s="11" t="str">
        <f t="shared" si="1"/>
        <v/>
      </c>
      <c r="N26" s="12"/>
      <c r="O26" s="12"/>
      <c r="P26" s="12"/>
    </row>
    <row r="27" spans="1:1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1" t="str">
        <f t="shared" si="0"/>
        <v/>
      </c>
      <c r="M27" s="11" t="str">
        <f t="shared" si="1"/>
        <v/>
      </c>
      <c r="N27" s="12"/>
      <c r="O27" s="12"/>
      <c r="P27" s="12"/>
    </row>
    <row r="28" spans="1:1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 t="str">
        <f t="shared" si="0"/>
        <v/>
      </c>
      <c r="M28" s="11" t="str">
        <f t="shared" si="1"/>
        <v/>
      </c>
      <c r="N28" s="12"/>
      <c r="O28" s="12"/>
      <c r="P28" s="12"/>
    </row>
    <row r="29" spans="1:1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1" t="str">
        <f t="shared" si="0"/>
        <v/>
      </c>
      <c r="M29" s="11" t="str">
        <f t="shared" si="1"/>
        <v/>
      </c>
      <c r="N29" s="12"/>
      <c r="O29" s="12"/>
      <c r="P29" s="12"/>
    </row>
    <row r="30" spans="1:1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 t="str">
        <f t="shared" si="0"/>
        <v/>
      </c>
      <c r="M30" s="11" t="str">
        <f t="shared" si="1"/>
        <v/>
      </c>
      <c r="N30" s="12"/>
      <c r="O30" s="12"/>
      <c r="P30" s="12"/>
    </row>
    <row r="31" spans="1:1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1" t="str">
        <f t="shared" si="0"/>
        <v/>
      </c>
      <c r="M31" s="11" t="str">
        <f t="shared" si="1"/>
        <v/>
      </c>
      <c r="N31" s="12"/>
      <c r="O31" s="12"/>
      <c r="P31" s="12"/>
    </row>
    <row r="32" spans="1:1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 t="str">
        <f t="shared" si="0"/>
        <v/>
      </c>
      <c r="M32" s="11" t="str">
        <f t="shared" si="1"/>
        <v/>
      </c>
      <c r="N32" s="12"/>
      <c r="O32" s="12"/>
      <c r="P32" s="12"/>
    </row>
    <row r="33" spans="1:1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1" t="str">
        <f t="shared" si="0"/>
        <v/>
      </c>
      <c r="M33" s="11" t="str">
        <f t="shared" si="1"/>
        <v/>
      </c>
      <c r="N33" s="12"/>
      <c r="O33" s="12"/>
      <c r="P33" s="12"/>
    </row>
    <row r="34" spans="1:1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 t="str">
        <f t="shared" si="0"/>
        <v/>
      </c>
      <c r="M34" s="11" t="str">
        <f t="shared" si="1"/>
        <v/>
      </c>
      <c r="N34" s="12"/>
      <c r="O34" s="12"/>
      <c r="P34" s="12"/>
    </row>
    <row r="35" spans="1:1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1" t="str">
        <f t="shared" ref="L35:L66" si="2">IF(A35="","",IF(G35&lt;&gt;"","✓","—"))</f>
        <v/>
      </c>
      <c r="M35" s="11" t="str">
        <f t="shared" ref="M35:M66" si="3">IF(A35="","",IF(J35&lt;&gt;"","✓","—"))</f>
        <v/>
      </c>
      <c r="N35" s="12"/>
      <c r="O35" s="12"/>
      <c r="P35" s="12"/>
    </row>
    <row r="36" spans="1:1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1" t="str">
        <f t="shared" si="2"/>
        <v/>
      </c>
      <c r="M36" s="11" t="str">
        <f t="shared" si="3"/>
        <v/>
      </c>
      <c r="N36" s="12"/>
      <c r="O36" s="12"/>
      <c r="P36" s="12"/>
    </row>
    <row r="37" spans="1:1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1" t="str">
        <f t="shared" si="2"/>
        <v/>
      </c>
      <c r="M37" s="11" t="str">
        <f t="shared" si="3"/>
        <v/>
      </c>
      <c r="N37" s="12"/>
      <c r="O37" s="12"/>
      <c r="P37" s="12"/>
    </row>
    <row r="38" spans="1:1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1" t="str">
        <f t="shared" si="2"/>
        <v/>
      </c>
      <c r="M38" s="11" t="str">
        <f t="shared" si="3"/>
        <v/>
      </c>
      <c r="N38" s="12"/>
      <c r="O38" s="12"/>
      <c r="P38" s="12"/>
    </row>
    <row r="39" spans="1:1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1" t="str">
        <f t="shared" si="2"/>
        <v/>
      </c>
      <c r="M39" s="11" t="str">
        <f t="shared" si="3"/>
        <v/>
      </c>
      <c r="N39" s="12"/>
      <c r="O39" s="12"/>
      <c r="P39" s="12"/>
    </row>
    <row r="40" spans="1:1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1" t="str">
        <f t="shared" si="2"/>
        <v/>
      </c>
      <c r="M40" s="11" t="str">
        <f t="shared" si="3"/>
        <v/>
      </c>
      <c r="N40" s="12"/>
      <c r="O40" s="12"/>
      <c r="P40" s="12"/>
    </row>
    <row r="41" spans="1:1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1" t="str">
        <f t="shared" si="2"/>
        <v/>
      </c>
      <c r="M41" s="11" t="str">
        <f t="shared" si="3"/>
        <v/>
      </c>
      <c r="N41" s="12"/>
      <c r="O41" s="12"/>
      <c r="P41" s="12"/>
    </row>
    <row r="42" spans="1:1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1" t="str">
        <f t="shared" si="2"/>
        <v/>
      </c>
      <c r="M42" s="11" t="str">
        <f t="shared" si="3"/>
        <v/>
      </c>
      <c r="N42" s="12"/>
      <c r="O42" s="12"/>
      <c r="P42" s="12"/>
    </row>
    <row r="43" spans="1:1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1" t="str">
        <f t="shared" si="2"/>
        <v/>
      </c>
      <c r="M43" s="11" t="str">
        <f t="shared" si="3"/>
        <v/>
      </c>
      <c r="N43" s="12"/>
      <c r="O43" s="12"/>
      <c r="P43" s="12"/>
    </row>
    <row r="44" spans="1:1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1" t="str">
        <f t="shared" si="2"/>
        <v/>
      </c>
      <c r="M44" s="11" t="str">
        <f t="shared" si="3"/>
        <v/>
      </c>
      <c r="N44" s="12"/>
      <c r="O44" s="12"/>
      <c r="P44" s="12"/>
    </row>
    <row r="45" spans="1:1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1" t="str">
        <f t="shared" si="2"/>
        <v/>
      </c>
      <c r="M45" s="11" t="str">
        <f t="shared" si="3"/>
        <v/>
      </c>
      <c r="N45" s="12"/>
      <c r="O45" s="12"/>
      <c r="P45" s="12"/>
    </row>
    <row r="46" spans="1:1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1" t="str">
        <f t="shared" si="2"/>
        <v/>
      </c>
      <c r="M46" s="11" t="str">
        <f t="shared" si="3"/>
        <v/>
      </c>
      <c r="N46" s="12"/>
      <c r="O46" s="12"/>
      <c r="P46" s="12"/>
    </row>
    <row r="47" spans="1:1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1" t="str">
        <f t="shared" si="2"/>
        <v/>
      </c>
      <c r="M47" s="11" t="str">
        <f t="shared" si="3"/>
        <v/>
      </c>
      <c r="N47" s="12"/>
      <c r="O47" s="12"/>
      <c r="P47" s="12"/>
    </row>
    <row r="48" spans="1:1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1" t="str">
        <f t="shared" si="2"/>
        <v/>
      </c>
      <c r="M48" s="11" t="str">
        <f t="shared" si="3"/>
        <v/>
      </c>
      <c r="N48" s="12"/>
      <c r="O48" s="12"/>
      <c r="P48" s="12"/>
    </row>
    <row r="49" spans="1:1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1" t="str">
        <f t="shared" si="2"/>
        <v/>
      </c>
      <c r="M49" s="11" t="str">
        <f t="shared" si="3"/>
        <v/>
      </c>
      <c r="N49" s="12"/>
      <c r="O49" s="12"/>
      <c r="P49" s="12"/>
    </row>
    <row r="50" spans="1:1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1" t="str">
        <f t="shared" si="2"/>
        <v/>
      </c>
      <c r="M50" s="11" t="str">
        <f t="shared" si="3"/>
        <v/>
      </c>
      <c r="N50" s="12"/>
      <c r="O50" s="12"/>
      <c r="P50" s="12"/>
    </row>
    <row r="51" spans="1:1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1" t="str">
        <f t="shared" si="2"/>
        <v/>
      </c>
      <c r="M51" s="11" t="str">
        <f t="shared" si="3"/>
        <v/>
      </c>
      <c r="N51" s="12"/>
      <c r="O51" s="12"/>
      <c r="P51" s="12"/>
    </row>
    <row r="52" spans="1:1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1" t="str">
        <f t="shared" si="2"/>
        <v/>
      </c>
      <c r="M52" s="11" t="str">
        <f t="shared" si="3"/>
        <v/>
      </c>
      <c r="N52" s="12"/>
      <c r="O52" s="12"/>
      <c r="P52" s="12"/>
    </row>
    <row r="53" spans="1:1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 t="str">
        <f t="shared" si="2"/>
        <v/>
      </c>
      <c r="M53" s="11" t="str">
        <f t="shared" si="3"/>
        <v/>
      </c>
      <c r="N53" s="12"/>
      <c r="O53" s="12"/>
      <c r="P53" s="12"/>
    </row>
    <row r="54" spans="1:1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1" t="str">
        <f t="shared" si="2"/>
        <v/>
      </c>
      <c r="M54" s="11" t="str">
        <f t="shared" si="3"/>
        <v/>
      </c>
      <c r="N54" s="12"/>
      <c r="O54" s="12"/>
      <c r="P54" s="12"/>
    </row>
    <row r="55" spans="1:1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1" t="str">
        <f t="shared" si="2"/>
        <v/>
      </c>
      <c r="M55" s="11" t="str">
        <f t="shared" si="3"/>
        <v/>
      </c>
      <c r="N55" s="12"/>
      <c r="O55" s="12"/>
      <c r="P55" s="12"/>
    </row>
    <row r="56" spans="1:1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1" t="str">
        <f t="shared" si="2"/>
        <v/>
      </c>
      <c r="M56" s="11" t="str">
        <f t="shared" si="3"/>
        <v/>
      </c>
      <c r="N56" s="12"/>
      <c r="O56" s="12"/>
      <c r="P56" s="12"/>
    </row>
    <row r="57" spans="1:1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1" t="str">
        <f t="shared" si="2"/>
        <v/>
      </c>
      <c r="M57" s="11" t="str">
        <f t="shared" si="3"/>
        <v/>
      </c>
      <c r="N57" s="12"/>
      <c r="O57" s="12"/>
      <c r="P57" s="12"/>
    </row>
    <row r="58" spans="1:1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1" t="str">
        <f t="shared" si="2"/>
        <v/>
      </c>
      <c r="M58" s="11" t="str">
        <f t="shared" si="3"/>
        <v/>
      </c>
      <c r="N58" s="12"/>
      <c r="O58" s="12"/>
      <c r="P58" s="12"/>
    </row>
    <row r="59" spans="1:1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1" t="str">
        <f t="shared" si="2"/>
        <v/>
      </c>
      <c r="M59" s="11" t="str">
        <f t="shared" si="3"/>
        <v/>
      </c>
      <c r="N59" s="12"/>
      <c r="O59" s="12"/>
      <c r="P59" s="12"/>
    </row>
    <row r="60" spans="1:1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1" t="str">
        <f t="shared" si="2"/>
        <v/>
      </c>
      <c r="M60" s="11" t="str">
        <f t="shared" si="3"/>
        <v/>
      </c>
      <c r="N60" s="12"/>
      <c r="O60" s="12"/>
      <c r="P60" s="12"/>
    </row>
    <row r="61" spans="1:1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1" t="str">
        <f t="shared" si="2"/>
        <v/>
      </c>
      <c r="M61" s="11" t="str">
        <f t="shared" si="3"/>
        <v/>
      </c>
      <c r="N61" s="12"/>
      <c r="O61" s="12"/>
      <c r="P61" s="12"/>
    </row>
    <row r="62" spans="1:1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1" t="str">
        <f t="shared" si="2"/>
        <v/>
      </c>
      <c r="M62" s="11" t="str">
        <f t="shared" si="3"/>
        <v/>
      </c>
      <c r="N62" s="12"/>
      <c r="O62" s="12"/>
      <c r="P62" s="12"/>
    </row>
    <row r="63" spans="1:1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1" t="str">
        <f t="shared" si="2"/>
        <v/>
      </c>
      <c r="M63" s="11" t="str">
        <f t="shared" si="3"/>
        <v/>
      </c>
      <c r="N63" s="12"/>
      <c r="O63" s="12"/>
      <c r="P63" s="12"/>
    </row>
    <row r="64" spans="1:1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1" t="str">
        <f t="shared" si="2"/>
        <v/>
      </c>
      <c r="M64" s="11" t="str">
        <f t="shared" si="3"/>
        <v/>
      </c>
      <c r="N64" s="12"/>
      <c r="O64" s="12"/>
      <c r="P64" s="12"/>
    </row>
    <row r="65" spans="1:1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1" t="str">
        <f t="shared" si="2"/>
        <v/>
      </c>
      <c r="M65" s="11" t="str">
        <f t="shared" si="3"/>
        <v/>
      </c>
      <c r="N65" s="12"/>
      <c r="O65" s="12"/>
      <c r="P65" s="12"/>
    </row>
    <row r="66" spans="1:1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1" t="str">
        <f t="shared" si="2"/>
        <v/>
      </c>
      <c r="M66" s="11" t="str">
        <f t="shared" si="3"/>
        <v/>
      </c>
      <c r="N66" s="12"/>
      <c r="O66" s="12"/>
      <c r="P66" s="12"/>
    </row>
    <row r="67" spans="1:1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1" t="str">
        <f t="shared" ref="L67:L98" si="4">IF(A67="","",IF(G67&lt;&gt;"","✓","—"))</f>
        <v/>
      </c>
      <c r="M67" s="11" t="str">
        <f t="shared" ref="M67:M98" si="5">IF(A67="","",IF(J67&lt;&gt;"","✓","—"))</f>
        <v/>
      </c>
      <c r="N67" s="12"/>
      <c r="O67" s="12"/>
      <c r="P67" s="12"/>
    </row>
    <row r="68" spans="1:1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1" t="str">
        <f t="shared" si="4"/>
        <v/>
      </c>
      <c r="M68" s="11" t="str">
        <f t="shared" si="5"/>
        <v/>
      </c>
      <c r="N68" s="12"/>
      <c r="O68" s="12"/>
      <c r="P68" s="12"/>
    </row>
    <row r="69" spans="1:1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1" t="str">
        <f t="shared" si="4"/>
        <v/>
      </c>
      <c r="M69" s="11" t="str">
        <f t="shared" si="5"/>
        <v/>
      </c>
      <c r="N69" s="12"/>
      <c r="O69" s="12"/>
      <c r="P69" s="12"/>
    </row>
    <row r="70" spans="1:1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1" t="str">
        <f t="shared" si="4"/>
        <v/>
      </c>
      <c r="M70" s="11" t="str">
        <f t="shared" si="5"/>
        <v/>
      </c>
      <c r="N70" s="12"/>
      <c r="O70" s="12"/>
      <c r="P70" s="12"/>
    </row>
    <row r="71" spans="1:1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1" t="str">
        <f t="shared" si="4"/>
        <v/>
      </c>
      <c r="M71" s="11" t="str">
        <f t="shared" si="5"/>
        <v/>
      </c>
      <c r="N71" s="12"/>
      <c r="O71" s="12"/>
      <c r="P71" s="12"/>
    </row>
    <row r="72" spans="1:1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1" t="str">
        <f t="shared" si="4"/>
        <v/>
      </c>
      <c r="M72" s="11" t="str">
        <f t="shared" si="5"/>
        <v/>
      </c>
      <c r="N72" s="12"/>
      <c r="O72" s="12"/>
      <c r="P72" s="12"/>
    </row>
    <row r="73" spans="1:1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1" t="str">
        <f t="shared" si="4"/>
        <v/>
      </c>
      <c r="M73" s="11" t="str">
        <f t="shared" si="5"/>
        <v/>
      </c>
      <c r="N73" s="12"/>
      <c r="O73" s="12"/>
      <c r="P73" s="12"/>
    </row>
    <row r="74" spans="1:1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1" t="str">
        <f t="shared" si="4"/>
        <v/>
      </c>
      <c r="M74" s="11" t="str">
        <f t="shared" si="5"/>
        <v/>
      </c>
      <c r="N74" s="12"/>
      <c r="O74" s="12"/>
      <c r="P74" s="12"/>
    </row>
    <row r="75" spans="1:1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1" t="str">
        <f t="shared" si="4"/>
        <v/>
      </c>
      <c r="M75" s="11" t="str">
        <f t="shared" si="5"/>
        <v/>
      </c>
      <c r="N75" s="12"/>
      <c r="O75" s="12"/>
      <c r="P75" s="12"/>
    </row>
    <row r="76" spans="1:1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1" t="str">
        <f t="shared" si="4"/>
        <v/>
      </c>
      <c r="M76" s="11" t="str">
        <f t="shared" si="5"/>
        <v/>
      </c>
      <c r="N76" s="12"/>
      <c r="O76" s="12"/>
      <c r="P76" s="12"/>
    </row>
    <row r="77" spans="1:1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1" t="str">
        <f t="shared" si="4"/>
        <v/>
      </c>
      <c r="M77" s="11" t="str">
        <f t="shared" si="5"/>
        <v/>
      </c>
      <c r="N77" s="12"/>
      <c r="O77" s="12"/>
      <c r="P77" s="12"/>
    </row>
    <row r="78" spans="1:1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1" t="str">
        <f t="shared" si="4"/>
        <v/>
      </c>
      <c r="M78" s="11" t="str">
        <f t="shared" si="5"/>
        <v/>
      </c>
      <c r="N78" s="12"/>
      <c r="O78" s="12"/>
      <c r="P78" s="12"/>
    </row>
    <row r="79" spans="1:1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1" t="str">
        <f t="shared" si="4"/>
        <v/>
      </c>
      <c r="M79" s="11" t="str">
        <f t="shared" si="5"/>
        <v/>
      </c>
      <c r="N79" s="12"/>
      <c r="O79" s="12"/>
      <c r="P79" s="12"/>
    </row>
    <row r="80" spans="1:1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1" t="str">
        <f t="shared" si="4"/>
        <v/>
      </c>
      <c r="M80" s="11" t="str">
        <f t="shared" si="5"/>
        <v/>
      </c>
      <c r="N80" s="12"/>
      <c r="O80" s="12"/>
      <c r="P80" s="12"/>
    </row>
    <row r="81" spans="1:1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1" t="str">
        <f t="shared" si="4"/>
        <v/>
      </c>
      <c r="M81" s="11" t="str">
        <f t="shared" si="5"/>
        <v/>
      </c>
      <c r="N81" s="12"/>
      <c r="O81" s="12"/>
      <c r="P81" s="12"/>
    </row>
    <row r="82" spans="1:1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1" t="str">
        <f t="shared" si="4"/>
        <v/>
      </c>
      <c r="M82" s="11" t="str">
        <f t="shared" si="5"/>
        <v/>
      </c>
      <c r="N82" s="12"/>
      <c r="O82" s="12"/>
      <c r="P82" s="12"/>
    </row>
    <row r="83" spans="1:1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1" t="str">
        <f t="shared" si="4"/>
        <v/>
      </c>
      <c r="M83" s="11" t="str">
        <f t="shared" si="5"/>
        <v/>
      </c>
      <c r="N83" s="12"/>
      <c r="O83" s="12"/>
      <c r="P83" s="12"/>
    </row>
    <row r="84" spans="1:1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1" t="str">
        <f t="shared" si="4"/>
        <v/>
      </c>
      <c r="M84" s="11" t="str">
        <f t="shared" si="5"/>
        <v/>
      </c>
      <c r="N84" s="12"/>
      <c r="O84" s="12"/>
      <c r="P84" s="12"/>
    </row>
    <row r="85" spans="1:1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1" t="str">
        <f t="shared" si="4"/>
        <v/>
      </c>
      <c r="M85" s="11" t="str">
        <f t="shared" si="5"/>
        <v/>
      </c>
      <c r="N85" s="12"/>
      <c r="O85" s="12"/>
      <c r="P85" s="12"/>
    </row>
    <row r="86" spans="1:1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1" t="str">
        <f t="shared" si="4"/>
        <v/>
      </c>
      <c r="M86" s="11" t="str">
        <f t="shared" si="5"/>
        <v/>
      </c>
      <c r="N86" s="12"/>
      <c r="O86" s="12"/>
      <c r="P86" s="12"/>
    </row>
    <row r="87" spans="1:1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1" t="str">
        <f t="shared" si="4"/>
        <v/>
      </c>
      <c r="M87" s="11" t="str">
        <f t="shared" si="5"/>
        <v/>
      </c>
      <c r="N87" s="12"/>
      <c r="O87" s="12"/>
      <c r="P87" s="12"/>
    </row>
    <row r="88" spans="1:1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1" t="str">
        <f t="shared" si="4"/>
        <v/>
      </c>
      <c r="M88" s="11" t="str">
        <f t="shared" si="5"/>
        <v/>
      </c>
      <c r="N88" s="12"/>
      <c r="O88" s="12"/>
      <c r="P88" s="12"/>
    </row>
    <row r="89" spans="1:1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1" t="str">
        <f t="shared" si="4"/>
        <v/>
      </c>
      <c r="M89" s="11" t="str">
        <f t="shared" si="5"/>
        <v/>
      </c>
      <c r="N89" s="12"/>
      <c r="O89" s="12"/>
      <c r="P89" s="12"/>
    </row>
    <row r="90" spans="1:1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1" t="str">
        <f t="shared" si="4"/>
        <v/>
      </c>
      <c r="M90" s="11" t="str">
        <f t="shared" si="5"/>
        <v/>
      </c>
      <c r="N90" s="12"/>
      <c r="O90" s="12"/>
      <c r="P90" s="12"/>
    </row>
    <row r="91" spans="1:1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1" t="str">
        <f t="shared" si="4"/>
        <v/>
      </c>
      <c r="M91" s="11" t="str">
        <f t="shared" si="5"/>
        <v/>
      </c>
      <c r="N91" s="12"/>
      <c r="O91" s="12"/>
      <c r="P91" s="12"/>
    </row>
    <row r="92" spans="1:1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1" t="str">
        <f t="shared" si="4"/>
        <v/>
      </c>
      <c r="M92" s="11" t="str">
        <f t="shared" si="5"/>
        <v/>
      </c>
      <c r="N92" s="12"/>
      <c r="O92" s="12"/>
      <c r="P92" s="12"/>
    </row>
    <row r="93" spans="1:1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1" t="str">
        <f t="shared" si="4"/>
        <v/>
      </c>
      <c r="M93" s="11" t="str">
        <f t="shared" si="5"/>
        <v/>
      </c>
      <c r="N93" s="12"/>
      <c r="O93" s="12"/>
      <c r="P93" s="12"/>
    </row>
    <row r="94" spans="1:1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1" t="str">
        <f t="shared" si="4"/>
        <v/>
      </c>
      <c r="M94" s="11" t="str">
        <f t="shared" si="5"/>
        <v/>
      </c>
      <c r="N94" s="12"/>
      <c r="O94" s="12"/>
      <c r="P94" s="12"/>
    </row>
    <row r="95" spans="1:1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1" t="str">
        <f t="shared" si="4"/>
        <v/>
      </c>
      <c r="M95" s="11" t="str">
        <f t="shared" si="5"/>
        <v/>
      </c>
      <c r="N95" s="12"/>
      <c r="O95" s="12"/>
      <c r="P95" s="12"/>
    </row>
    <row r="96" spans="1:1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1" t="str">
        <f t="shared" si="4"/>
        <v/>
      </c>
      <c r="M96" s="11" t="str">
        <f t="shared" si="5"/>
        <v/>
      </c>
      <c r="N96" s="12"/>
      <c r="O96" s="12"/>
      <c r="P96" s="12"/>
    </row>
    <row r="97" spans="1:1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1" t="str">
        <f t="shared" si="4"/>
        <v/>
      </c>
      <c r="M97" s="11" t="str">
        <f t="shared" si="5"/>
        <v/>
      </c>
      <c r="N97" s="12"/>
      <c r="O97" s="12"/>
      <c r="P97" s="12"/>
    </row>
    <row r="98" spans="1:1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1" t="str">
        <f t="shared" si="4"/>
        <v/>
      </c>
      <c r="M98" s="11" t="str">
        <f t="shared" si="5"/>
        <v/>
      </c>
      <c r="N98" s="12"/>
      <c r="O98" s="12"/>
      <c r="P98" s="12"/>
    </row>
    <row r="99" spans="1:1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1" t="str">
        <f t="shared" ref="L99:L130" si="6">IF(A99="","",IF(G99&lt;&gt;"","✓","—"))</f>
        <v/>
      </c>
      <c r="M99" s="11" t="str">
        <f t="shared" ref="M99:M130" si="7">IF(A99="","",IF(J99&lt;&gt;"","✓","—"))</f>
        <v/>
      </c>
      <c r="N99" s="12"/>
      <c r="O99" s="12"/>
      <c r="P99" s="12"/>
    </row>
    <row r="100" spans="1:1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1" t="str">
        <f t="shared" si="6"/>
        <v/>
      </c>
      <c r="M100" s="11" t="str">
        <f t="shared" si="7"/>
        <v/>
      </c>
      <c r="N100" s="12"/>
      <c r="O100" s="12"/>
      <c r="P100" s="12"/>
    </row>
    <row r="101" spans="1:1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1" t="str">
        <f t="shared" si="6"/>
        <v/>
      </c>
      <c r="M101" s="11" t="str">
        <f t="shared" si="7"/>
        <v/>
      </c>
      <c r="N101" s="12"/>
      <c r="O101" s="12"/>
      <c r="P101" s="12"/>
    </row>
    <row r="102" spans="1:1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1" t="str">
        <f t="shared" si="6"/>
        <v/>
      </c>
      <c r="M102" s="11" t="str">
        <f t="shared" si="7"/>
        <v/>
      </c>
      <c r="N102" s="12"/>
      <c r="O102" s="12"/>
      <c r="P102" s="12"/>
    </row>
    <row r="103" spans="1:1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1" t="str">
        <f t="shared" si="6"/>
        <v/>
      </c>
      <c r="M103" s="11" t="str">
        <f t="shared" si="7"/>
        <v/>
      </c>
      <c r="N103" s="12"/>
      <c r="O103" s="12"/>
      <c r="P103" s="12"/>
    </row>
    <row r="104" spans="1:1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1" t="str">
        <f t="shared" si="6"/>
        <v/>
      </c>
      <c r="M104" s="11" t="str">
        <f t="shared" si="7"/>
        <v/>
      </c>
      <c r="N104" s="12"/>
      <c r="O104" s="12"/>
      <c r="P104" s="12"/>
    </row>
    <row r="105" spans="1:1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1" t="str">
        <f t="shared" si="6"/>
        <v/>
      </c>
      <c r="M105" s="11" t="str">
        <f t="shared" si="7"/>
        <v/>
      </c>
      <c r="N105" s="12"/>
      <c r="O105" s="12"/>
      <c r="P105" s="12"/>
    </row>
    <row r="106" spans="1:1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1" t="str">
        <f t="shared" si="6"/>
        <v/>
      </c>
      <c r="M106" s="11" t="str">
        <f t="shared" si="7"/>
        <v/>
      </c>
      <c r="N106" s="12"/>
      <c r="O106" s="12"/>
      <c r="P106" s="12"/>
    </row>
    <row r="107" spans="1:1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1" t="str">
        <f t="shared" si="6"/>
        <v/>
      </c>
      <c r="M107" s="11" t="str">
        <f t="shared" si="7"/>
        <v/>
      </c>
      <c r="N107" s="12"/>
      <c r="O107" s="12"/>
      <c r="P107" s="12"/>
    </row>
    <row r="108" spans="1:1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1" t="str">
        <f t="shared" si="6"/>
        <v/>
      </c>
      <c r="M108" s="11" t="str">
        <f t="shared" si="7"/>
        <v/>
      </c>
      <c r="N108" s="12"/>
      <c r="O108" s="12"/>
      <c r="P108" s="12"/>
    </row>
    <row r="109" spans="1:1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1" t="str">
        <f t="shared" si="6"/>
        <v/>
      </c>
      <c r="M109" s="11" t="str">
        <f t="shared" si="7"/>
        <v/>
      </c>
      <c r="N109" s="12"/>
      <c r="O109" s="12"/>
      <c r="P109" s="12"/>
    </row>
    <row r="110" spans="1:1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1" t="str">
        <f t="shared" si="6"/>
        <v/>
      </c>
      <c r="M110" s="11" t="str">
        <f t="shared" si="7"/>
        <v/>
      </c>
      <c r="N110" s="12"/>
      <c r="O110" s="12"/>
      <c r="P110" s="12"/>
    </row>
    <row r="111" spans="1:1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1" t="str">
        <f t="shared" si="6"/>
        <v/>
      </c>
      <c r="M111" s="11" t="str">
        <f t="shared" si="7"/>
        <v/>
      </c>
      <c r="N111" s="12"/>
      <c r="O111" s="12"/>
      <c r="P111" s="12"/>
    </row>
    <row r="112" spans="1:1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1" t="str">
        <f t="shared" si="6"/>
        <v/>
      </c>
      <c r="M112" s="11" t="str">
        <f t="shared" si="7"/>
        <v/>
      </c>
      <c r="N112" s="12"/>
      <c r="O112" s="12"/>
      <c r="P112" s="12"/>
    </row>
    <row r="113" spans="1:1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1" t="str">
        <f t="shared" si="6"/>
        <v/>
      </c>
      <c r="M113" s="11" t="str">
        <f t="shared" si="7"/>
        <v/>
      </c>
      <c r="N113" s="12"/>
      <c r="O113" s="12"/>
      <c r="P113" s="12"/>
    </row>
    <row r="114" spans="1:1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1" t="str">
        <f t="shared" si="6"/>
        <v/>
      </c>
      <c r="M114" s="11" t="str">
        <f t="shared" si="7"/>
        <v/>
      </c>
      <c r="N114" s="12"/>
      <c r="O114" s="12"/>
      <c r="P114" s="12"/>
    </row>
    <row r="115" spans="1:1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1" t="str">
        <f t="shared" si="6"/>
        <v/>
      </c>
      <c r="M115" s="11" t="str">
        <f t="shared" si="7"/>
        <v/>
      </c>
      <c r="N115" s="12"/>
      <c r="O115" s="12"/>
      <c r="P115" s="12"/>
    </row>
    <row r="116" spans="1:1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1" t="str">
        <f t="shared" si="6"/>
        <v/>
      </c>
      <c r="M116" s="11" t="str">
        <f t="shared" si="7"/>
        <v/>
      </c>
      <c r="N116" s="12"/>
      <c r="O116" s="12"/>
      <c r="P116" s="12"/>
    </row>
    <row r="117" spans="1:1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1" t="str">
        <f t="shared" si="6"/>
        <v/>
      </c>
      <c r="M117" s="11" t="str">
        <f t="shared" si="7"/>
        <v/>
      </c>
      <c r="N117" s="12"/>
      <c r="O117" s="12"/>
      <c r="P117" s="12"/>
    </row>
    <row r="118" spans="1:1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1" t="str">
        <f t="shared" si="6"/>
        <v/>
      </c>
      <c r="M118" s="11" t="str">
        <f t="shared" si="7"/>
        <v/>
      </c>
      <c r="N118" s="12"/>
      <c r="O118" s="12"/>
      <c r="P118" s="12"/>
    </row>
    <row r="119" spans="1:1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1" t="str">
        <f t="shared" si="6"/>
        <v/>
      </c>
      <c r="M119" s="11" t="str">
        <f t="shared" si="7"/>
        <v/>
      </c>
      <c r="N119" s="12"/>
      <c r="O119" s="12"/>
      <c r="P119" s="12"/>
    </row>
    <row r="120" spans="1:1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1" t="str">
        <f t="shared" si="6"/>
        <v/>
      </c>
      <c r="M120" s="11" t="str">
        <f t="shared" si="7"/>
        <v/>
      </c>
      <c r="N120" s="12"/>
      <c r="O120" s="12"/>
      <c r="P120" s="12"/>
    </row>
    <row r="121" spans="1:1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1" t="str">
        <f t="shared" si="6"/>
        <v/>
      </c>
      <c r="M121" s="11" t="str">
        <f t="shared" si="7"/>
        <v/>
      </c>
      <c r="N121" s="12"/>
      <c r="O121" s="12"/>
      <c r="P121" s="12"/>
    </row>
    <row r="122" spans="1:1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1" t="str">
        <f t="shared" si="6"/>
        <v/>
      </c>
      <c r="M122" s="11" t="str">
        <f t="shared" si="7"/>
        <v/>
      </c>
      <c r="N122" s="12"/>
      <c r="O122" s="12"/>
      <c r="P122" s="12"/>
    </row>
    <row r="123" spans="1:1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1" t="str">
        <f t="shared" si="6"/>
        <v/>
      </c>
      <c r="M123" s="11" t="str">
        <f t="shared" si="7"/>
        <v/>
      </c>
      <c r="N123" s="12"/>
      <c r="O123" s="12"/>
      <c r="P123" s="12"/>
    </row>
    <row r="124" spans="1:1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1" t="str">
        <f t="shared" si="6"/>
        <v/>
      </c>
      <c r="M124" s="11" t="str">
        <f t="shared" si="7"/>
        <v/>
      </c>
      <c r="N124" s="12"/>
      <c r="O124" s="12"/>
      <c r="P124" s="12"/>
    </row>
    <row r="125" spans="1:1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1" t="str">
        <f t="shared" si="6"/>
        <v/>
      </c>
      <c r="M125" s="11" t="str">
        <f t="shared" si="7"/>
        <v/>
      </c>
      <c r="N125" s="12"/>
      <c r="O125" s="12"/>
      <c r="P125" s="12"/>
    </row>
    <row r="126" spans="1:1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1" t="str">
        <f t="shared" si="6"/>
        <v/>
      </c>
      <c r="M126" s="11" t="str">
        <f t="shared" si="7"/>
        <v/>
      </c>
      <c r="N126" s="12"/>
      <c r="O126" s="12"/>
      <c r="P126" s="12"/>
    </row>
    <row r="127" spans="1:1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1" t="str">
        <f t="shared" si="6"/>
        <v/>
      </c>
      <c r="M127" s="11" t="str">
        <f t="shared" si="7"/>
        <v/>
      </c>
      <c r="N127" s="12"/>
      <c r="O127" s="12"/>
      <c r="P127" s="12"/>
    </row>
    <row r="128" spans="1:1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1" t="str">
        <f t="shared" si="6"/>
        <v/>
      </c>
      <c r="M128" s="11" t="str">
        <f t="shared" si="7"/>
        <v/>
      </c>
      <c r="N128" s="12"/>
      <c r="O128" s="12"/>
      <c r="P128" s="12"/>
    </row>
    <row r="129" spans="1:1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1" t="str">
        <f t="shared" si="6"/>
        <v/>
      </c>
      <c r="M129" s="11" t="str">
        <f t="shared" si="7"/>
        <v/>
      </c>
      <c r="N129" s="12"/>
      <c r="O129" s="12"/>
      <c r="P129" s="12"/>
    </row>
    <row r="130" spans="1:1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1" t="str">
        <f t="shared" si="6"/>
        <v/>
      </c>
      <c r="M130" s="11" t="str">
        <f t="shared" si="7"/>
        <v/>
      </c>
      <c r="N130" s="12"/>
      <c r="O130" s="12"/>
      <c r="P130" s="12"/>
    </row>
    <row r="131" spans="1:1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1" t="str">
        <f t="shared" ref="L131:L152" si="8">IF(A131="","",IF(G131&lt;&gt;"","✓","—"))</f>
        <v/>
      </c>
      <c r="M131" s="11" t="str">
        <f t="shared" ref="M131:M152" si="9">IF(A131="","",IF(J131&lt;&gt;"","✓","—"))</f>
        <v/>
      </c>
      <c r="N131" s="12"/>
      <c r="O131" s="12"/>
      <c r="P131" s="12"/>
    </row>
    <row r="132" spans="1:1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1" t="str">
        <f t="shared" si="8"/>
        <v/>
      </c>
      <c r="M132" s="11" t="str">
        <f t="shared" si="9"/>
        <v/>
      </c>
      <c r="N132" s="12"/>
      <c r="O132" s="12"/>
      <c r="P132" s="12"/>
    </row>
    <row r="133" spans="1:1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1" t="str">
        <f t="shared" si="8"/>
        <v/>
      </c>
      <c r="M133" s="11" t="str">
        <f t="shared" si="9"/>
        <v/>
      </c>
      <c r="N133" s="12"/>
      <c r="O133" s="12"/>
      <c r="P133" s="12"/>
    </row>
    <row r="134" spans="1:1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1" t="str">
        <f t="shared" si="8"/>
        <v/>
      </c>
      <c r="M134" s="11" t="str">
        <f t="shared" si="9"/>
        <v/>
      </c>
      <c r="N134" s="12"/>
      <c r="O134" s="12"/>
      <c r="P134" s="12"/>
    </row>
    <row r="135" spans="1:1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1" t="str">
        <f t="shared" si="8"/>
        <v/>
      </c>
      <c r="M135" s="11" t="str">
        <f t="shared" si="9"/>
        <v/>
      </c>
      <c r="N135" s="12"/>
      <c r="O135" s="12"/>
      <c r="P135" s="12"/>
    </row>
    <row r="136" spans="1:1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1" t="str">
        <f t="shared" si="8"/>
        <v/>
      </c>
      <c r="M136" s="11" t="str">
        <f t="shared" si="9"/>
        <v/>
      </c>
      <c r="N136" s="12"/>
      <c r="O136" s="12"/>
      <c r="P136" s="12"/>
    </row>
    <row r="137" spans="1:1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1" t="str">
        <f t="shared" si="8"/>
        <v/>
      </c>
      <c r="M137" s="11" t="str">
        <f t="shared" si="9"/>
        <v/>
      </c>
      <c r="N137" s="12"/>
      <c r="O137" s="12"/>
      <c r="P137" s="12"/>
    </row>
    <row r="138" spans="1:1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1" t="str">
        <f t="shared" si="8"/>
        <v/>
      </c>
      <c r="M138" s="11" t="str">
        <f t="shared" si="9"/>
        <v/>
      </c>
      <c r="N138" s="12"/>
      <c r="O138" s="12"/>
      <c r="P138" s="12"/>
    </row>
    <row r="139" spans="1:1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1" t="str">
        <f t="shared" si="8"/>
        <v/>
      </c>
      <c r="M139" s="11" t="str">
        <f t="shared" si="9"/>
        <v/>
      </c>
      <c r="N139" s="12"/>
      <c r="O139" s="12"/>
      <c r="P139" s="12"/>
    </row>
    <row r="140" spans="1:1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1" t="str">
        <f t="shared" si="8"/>
        <v/>
      </c>
      <c r="M140" s="11" t="str">
        <f t="shared" si="9"/>
        <v/>
      </c>
      <c r="N140" s="12"/>
      <c r="O140" s="12"/>
      <c r="P140" s="12"/>
    </row>
    <row r="141" spans="1:1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1" t="str">
        <f t="shared" si="8"/>
        <v/>
      </c>
      <c r="M141" s="11" t="str">
        <f t="shared" si="9"/>
        <v/>
      </c>
      <c r="N141" s="12"/>
      <c r="O141" s="12"/>
      <c r="P141" s="12"/>
    </row>
    <row r="142" spans="1:1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1" t="str">
        <f t="shared" si="8"/>
        <v/>
      </c>
      <c r="M142" s="11" t="str">
        <f t="shared" si="9"/>
        <v/>
      </c>
      <c r="N142" s="12"/>
      <c r="O142" s="12"/>
      <c r="P142" s="12"/>
    </row>
    <row r="143" spans="1:1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1" t="str">
        <f t="shared" si="8"/>
        <v/>
      </c>
      <c r="M143" s="11" t="str">
        <f t="shared" si="9"/>
        <v/>
      </c>
      <c r="N143" s="12"/>
      <c r="O143" s="12"/>
      <c r="P143" s="12"/>
    </row>
    <row r="144" spans="1:1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1" t="str">
        <f t="shared" si="8"/>
        <v/>
      </c>
      <c r="M144" s="11" t="str">
        <f t="shared" si="9"/>
        <v/>
      </c>
      <c r="N144" s="12"/>
      <c r="O144" s="12"/>
      <c r="P144" s="12"/>
    </row>
    <row r="145" spans="1:1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1" t="str">
        <f t="shared" si="8"/>
        <v/>
      </c>
      <c r="M145" s="11" t="str">
        <f t="shared" si="9"/>
        <v/>
      </c>
      <c r="N145" s="12"/>
      <c r="O145" s="12"/>
      <c r="P145" s="12"/>
    </row>
    <row r="146" spans="1:1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1" t="str">
        <f t="shared" si="8"/>
        <v/>
      </c>
      <c r="M146" s="11" t="str">
        <f t="shared" si="9"/>
        <v/>
      </c>
      <c r="N146" s="12"/>
      <c r="O146" s="12"/>
      <c r="P146" s="12"/>
    </row>
    <row r="147" spans="1:1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1" t="str">
        <f t="shared" si="8"/>
        <v/>
      </c>
      <c r="M147" s="11" t="str">
        <f t="shared" si="9"/>
        <v/>
      </c>
      <c r="N147" s="12"/>
      <c r="O147" s="12"/>
      <c r="P147" s="12"/>
    </row>
    <row r="148" spans="1:1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1" t="str">
        <f t="shared" si="8"/>
        <v/>
      </c>
      <c r="M148" s="11" t="str">
        <f t="shared" si="9"/>
        <v/>
      </c>
      <c r="N148" s="12"/>
      <c r="O148" s="12"/>
      <c r="P148" s="12"/>
    </row>
    <row r="149" spans="1:1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1" t="str">
        <f t="shared" si="8"/>
        <v/>
      </c>
      <c r="M149" s="11" t="str">
        <f t="shared" si="9"/>
        <v/>
      </c>
      <c r="N149" s="12"/>
      <c r="O149" s="12"/>
      <c r="P149" s="12"/>
    </row>
    <row r="150" spans="1:1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1" t="str">
        <f t="shared" si="8"/>
        <v/>
      </c>
      <c r="M150" s="11" t="str">
        <f t="shared" si="9"/>
        <v/>
      </c>
      <c r="N150" s="12"/>
      <c r="O150" s="12"/>
      <c r="P150" s="12"/>
    </row>
    <row r="151" spans="1:1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1" t="str">
        <f t="shared" si="8"/>
        <v/>
      </c>
      <c r="M151" s="11" t="str">
        <f t="shared" si="9"/>
        <v/>
      </c>
      <c r="N151" s="12"/>
      <c r="O151" s="12"/>
      <c r="P151" s="12"/>
    </row>
    <row r="152" spans="1:1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1" t="str">
        <f t="shared" si="8"/>
        <v/>
      </c>
      <c r="M152" s="11" t="str">
        <f t="shared" si="9"/>
        <v/>
      </c>
      <c r="N152" s="12"/>
      <c r="O152" s="12"/>
      <c r="P152" s="12"/>
    </row>
  </sheetData>
  <autoFilter ref="A2:P152" xr:uid="{00000000-0009-0000-0000-000001000000}"/>
  <conditionalFormatting sqref="L3:L152">
    <cfRule type="cellIs" dxfId="5" priority="2" operator="equal">
      <formula>"—"</formula>
    </cfRule>
    <cfRule type="cellIs" dxfId="4" priority="3" operator="equal">
      <formula>"✓"</formula>
    </cfRule>
  </conditionalFormatting>
  <conditionalFormatting sqref="M3:M152">
    <cfRule type="cellIs" dxfId="3" priority="4" operator="equal">
      <formula>"—"</formula>
    </cfRule>
    <cfRule type="cellIs" dxfId="2" priority="5" operator="equal">
      <formula>"✓"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Недопустимое значение" error="Выберите значение из списка" xr:uid="{00000000-0002-0000-0100-000000000000}">
          <x14:formula1>
            <xm:f>Справочники!$A$2:$A$7</xm:f>
          </x14:formula1>
          <x14:formula2>
            <xm:f>0</xm:f>
          </x14:formula2>
          <xm:sqref>C3:C152</xm:sqref>
        </x14:dataValidation>
        <x14:dataValidation type="list" allowBlank="1" errorTitle="Недопустимое значение" error="Выберите значение из списка" xr:uid="{00000000-0002-0000-0100-000001000000}">
          <x14:formula1>
            <xm:f>Справочники!$B$2:$B$5</xm:f>
          </x14:formula1>
          <x14:formula2>
            <xm:f>0</xm:f>
          </x14:formula2>
          <xm:sqref>D3:D152</xm:sqref>
        </x14:dataValidation>
        <x14:dataValidation type="list" allowBlank="1" errorTitle="Недопустимое значение" error="Выберите значение из списка" xr:uid="{00000000-0002-0000-0100-000002000000}">
          <x14:formula1>
            <xm:f>Справочники!$C$2:$C$12</xm:f>
          </x14:formula1>
          <x14:formula2>
            <xm:f>0</xm:f>
          </x14:formula2>
          <xm:sqref>E3:E152</xm:sqref>
        </x14:dataValidation>
        <x14:dataValidation type="list" allowBlank="1" errorTitle="Недопустимое значение" error="Выберите значение из списка" xr:uid="{00000000-0002-0000-0100-000003000000}">
          <x14:formula1>
            <xm:f>Справочники!$D$2:$D$8</xm:f>
          </x14:formula1>
          <x14:formula2>
            <xm:f>0</xm:f>
          </x14:formula2>
          <xm:sqref>N3:N152</xm:sqref>
        </x14:dataValidation>
        <x14:dataValidation type="list" allowBlank="1" errorTitle="Недопустимое значение" error="Выберите значение из списка" xr:uid="{00000000-0002-0000-0100-000004000000}">
          <x14:formula1>
            <xm:f>Справочники!$E$2:$E$8</xm:f>
          </x14:formula1>
          <x14:formula2>
            <xm:f>0</xm:f>
          </x14:formula2>
          <xm:sqref>F3:F152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6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14" customWidth="1"/>
    <col min="4" max="4" width="3" customWidth="1"/>
    <col min="5" max="5" width="22" customWidth="1"/>
    <col min="6" max="6" width="12" customWidth="1"/>
  </cols>
  <sheetData>
    <row r="2" spans="2:6" ht="18" x14ac:dyDescent="0.25">
      <c r="B2" s="8" t="s">
        <v>108</v>
      </c>
    </row>
    <row r="3" spans="2:6" x14ac:dyDescent="0.25">
      <c r="B3" s="2" t="s">
        <v>109</v>
      </c>
    </row>
    <row r="5" spans="2:6" ht="15.75" x14ac:dyDescent="0.25">
      <c r="B5" s="5" t="s">
        <v>110</v>
      </c>
      <c r="E5" s="5" t="s">
        <v>111</v>
      </c>
    </row>
    <row r="6" spans="2:6" x14ac:dyDescent="0.25">
      <c r="B6" s="13" t="s">
        <v>112</v>
      </c>
      <c r="C6" s="14">
        <f>COUNTA(RTM!$A$3:$A$152)</f>
        <v>6</v>
      </c>
      <c r="E6" s="9" t="s">
        <v>34</v>
      </c>
      <c r="F6" s="9" t="s">
        <v>113</v>
      </c>
    </row>
    <row r="7" spans="2:6" x14ac:dyDescent="0.25">
      <c r="B7" s="13" t="s">
        <v>114</v>
      </c>
      <c r="C7" s="14">
        <f>COUNTIF(RTM!$L$3:$L$152,"✓")</f>
        <v>5</v>
      </c>
      <c r="E7" s="15" t="s">
        <v>50</v>
      </c>
      <c r="F7" s="16">
        <f>COUNTIF(RTM!$D$3:$D$152,"Must")</f>
        <v>4</v>
      </c>
    </row>
    <row r="8" spans="2:6" x14ac:dyDescent="0.25">
      <c r="B8" s="13" t="s">
        <v>115</v>
      </c>
      <c r="C8" s="14">
        <f>COUNTIF(RTM!$L$3:$L$152,"—")</f>
        <v>1</v>
      </c>
      <c r="E8" s="15" t="s">
        <v>82</v>
      </c>
      <c r="F8" s="16">
        <f>COUNTIF(RTM!$D$3:$D$152,"Should")</f>
        <v>2</v>
      </c>
    </row>
    <row r="9" spans="2:6" x14ac:dyDescent="0.25">
      <c r="B9" s="13" t="s">
        <v>116</v>
      </c>
      <c r="C9" s="14">
        <f>COUNTIF(RTM!$M$3:$M$152,"✓")</f>
        <v>6</v>
      </c>
      <c r="E9" s="15" t="s">
        <v>117</v>
      </c>
      <c r="F9" s="16">
        <f>COUNTIF(RTM!$D$3:$D$152,"Could")</f>
        <v>0</v>
      </c>
    </row>
    <row r="10" spans="2:6" x14ac:dyDescent="0.25">
      <c r="B10" s="13" t="s">
        <v>118</v>
      </c>
      <c r="C10" s="14">
        <f>COUNTIF(RTM!$M$3:$M$152,"—")</f>
        <v>0</v>
      </c>
      <c r="E10" s="15" t="s">
        <v>119</v>
      </c>
      <c r="F10" s="16">
        <f>COUNTIF(RTM!$D$3:$D$152,"Won't (этой волны)")</f>
        <v>0</v>
      </c>
    </row>
    <row r="11" spans="2:6" x14ac:dyDescent="0.25">
      <c r="B11" s="13" t="s">
        <v>120</v>
      </c>
      <c r="C11" s="17">
        <f>IFERROR(COUNTIF(RTM!$M$3:$M$152,"✓")/COUNTA(RTM!$A$3:$A$152),0)</f>
        <v>1</v>
      </c>
    </row>
    <row r="14" spans="2:6" ht="15.75" x14ac:dyDescent="0.25">
      <c r="B14" s="5" t="s">
        <v>121</v>
      </c>
      <c r="E14" s="5" t="s">
        <v>122</v>
      </c>
    </row>
    <row r="15" spans="2:6" x14ac:dyDescent="0.25">
      <c r="B15" s="9" t="s">
        <v>44</v>
      </c>
      <c r="C15" s="9" t="s">
        <v>113</v>
      </c>
      <c r="E15" s="9" t="s">
        <v>35</v>
      </c>
      <c r="F15" s="9" t="s">
        <v>113</v>
      </c>
    </row>
    <row r="16" spans="2:6" x14ac:dyDescent="0.25">
      <c r="B16" s="15" t="s">
        <v>78</v>
      </c>
      <c r="C16" s="16">
        <f>COUNTIF(RTM!$N$3:$N$152,"Предложено")</f>
        <v>3</v>
      </c>
      <c r="E16" s="15" t="s">
        <v>123</v>
      </c>
      <c r="F16" s="16">
        <f>COUNTIF(RTM!$E$3:$E$152,"Финансы и казначейство")</f>
        <v>0</v>
      </c>
    </row>
    <row r="17" spans="2:6" x14ac:dyDescent="0.25">
      <c r="B17" s="15" t="s">
        <v>58</v>
      </c>
      <c r="C17" s="16">
        <f>COUNTIF(RTM!$N$3:$N$152,"Согласовано")</f>
        <v>2</v>
      </c>
      <c r="E17" s="15" t="s">
        <v>51</v>
      </c>
      <c r="F17" s="16">
        <f>COUNTIF(RTM!$E$3:$E$152,"Регламентированный учёт")</f>
        <v>1</v>
      </c>
    </row>
    <row r="18" spans="2:6" x14ac:dyDescent="0.25">
      <c r="B18" s="15" t="s">
        <v>69</v>
      </c>
      <c r="C18" s="16">
        <f>COUNTIF(RTM!$N$3:$N$152,"Реализуется")</f>
        <v>1</v>
      </c>
      <c r="E18" s="15" t="s">
        <v>73</v>
      </c>
      <c r="F18" s="16">
        <f>COUNTIF(RTM!$E$3:$E$152,"Консолидация (1С:УХ)")</f>
        <v>1</v>
      </c>
    </row>
    <row r="19" spans="2:6" x14ac:dyDescent="0.25">
      <c r="B19" s="15" t="s">
        <v>124</v>
      </c>
      <c r="C19" s="16">
        <f>COUNTIF(RTM!$N$3:$N$152,"Реализовано")</f>
        <v>0</v>
      </c>
      <c r="E19" s="15" t="s">
        <v>63</v>
      </c>
      <c r="F19" s="16">
        <f>COUNTIF(RTM!$E$3:$E$152,"Производство")</f>
        <v>1</v>
      </c>
    </row>
    <row r="20" spans="2:6" x14ac:dyDescent="0.25">
      <c r="B20" s="15" t="s">
        <v>125</v>
      </c>
      <c r="C20" s="16">
        <f>COUNTIF(RTM!$N$3:$N$152,"Проверено")</f>
        <v>0</v>
      </c>
      <c r="E20" s="15" t="s">
        <v>126</v>
      </c>
      <c r="F20" s="16">
        <f>COUNTIF(RTM!$E$3:$E$152,"Закупки/склад")</f>
        <v>0</v>
      </c>
    </row>
    <row r="21" spans="2:6" x14ac:dyDescent="0.25">
      <c r="B21" s="15" t="s">
        <v>127</v>
      </c>
      <c r="C21" s="16">
        <f>COUNTIF(RTM!$N$3:$N$152,"Отклонено")</f>
        <v>0</v>
      </c>
      <c r="E21" s="15" t="s">
        <v>128</v>
      </c>
      <c r="F21" s="16">
        <f>COUNTIF(RTM!$E$3:$E$152,"Продажи")</f>
        <v>0</v>
      </c>
    </row>
    <row r="22" spans="2:6" x14ac:dyDescent="0.25">
      <c r="B22" s="15" t="s">
        <v>129</v>
      </c>
      <c r="C22" s="16">
        <f>COUNTIF(RTM!$N$3:$N$152,"Отложено")</f>
        <v>0</v>
      </c>
      <c r="E22" s="15" t="s">
        <v>130</v>
      </c>
      <c r="F22" s="16">
        <f>COUNTIF(RTM!$E$3:$E$152,"HR/ЗП")</f>
        <v>0</v>
      </c>
    </row>
    <row r="23" spans="2:6" x14ac:dyDescent="0.25">
      <c r="E23" s="15" t="s">
        <v>131</v>
      </c>
      <c r="F23" s="16">
        <f>COUNTIF(RTM!$E$3:$E$152,"НСИ")</f>
        <v>0</v>
      </c>
    </row>
    <row r="24" spans="2:6" x14ac:dyDescent="0.25">
      <c r="E24" s="15" t="s">
        <v>83</v>
      </c>
      <c r="F24" s="16">
        <f>COUNTIF(RTM!$E$3:$E$152,"Интеграции")</f>
        <v>1</v>
      </c>
    </row>
    <row r="25" spans="2:6" x14ac:dyDescent="0.25">
      <c r="E25" s="15" t="s">
        <v>93</v>
      </c>
      <c r="F25" s="16">
        <f>COUNTIF(RTM!$E$3:$E$152,"Миграция")</f>
        <v>1</v>
      </c>
    </row>
    <row r="26" spans="2:6" x14ac:dyDescent="0.25">
      <c r="E26" s="15" t="s">
        <v>101</v>
      </c>
      <c r="F26" s="16">
        <f>COUNTIF(RTM!$E$3:$E$152,"Общесистемное")</f>
        <v>1</v>
      </c>
    </row>
  </sheetData>
  <conditionalFormatting sqref="C8">
    <cfRule type="cellIs" dxfId="1" priority="2" operator="greaterThan">
      <formula>0</formula>
    </cfRule>
  </conditionalFormatting>
  <conditionalFormatting sqref="C10"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/>
  </sheetViews>
  <sheetFormatPr defaultColWidth="8.7109375" defaultRowHeight="15" x14ac:dyDescent="0.25"/>
  <cols>
    <col min="1" max="5" width="22" customWidth="1"/>
  </cols>
  <sheetData>
    <row r="1" spans="1:5" x14ac:dyDescent="0.25">
      <c r="A1" s="9" t="s">
        <v>132</v>
      </c>
      <c r="B1" s="9" t="s">
        <v>133</v>
      </c>
      <c r="C1" s="9" t="s">
        <v>35</v>
      </c>
      <c r="D1" s="9" t="s">
        <v>44</v>
      </c>
      <c r="E1" s="9" t="s">
        <v>36</v>
      </c>
    </row>
    <row r="2" spans="1:5" x14ac:dyDescent="0.25">
      <c r="A2" s="15" t="s">
        <v>49</v>
      </c>
      <c r="B2" s="15" t="s">
        <v>50</v>
      </c>
      <c r="C2" s="15" t="s">
        <v>123</v>
      </c>
      <c r="D2" s="15" t="s">
        <v>78</v>
      </c>
      <c r="E2" s="15" t="s">
        <v>52</v>
      </c>
    </row>
    <row r="3" spans="1:5" x14ac:dyDescent="0.25">
      <c r="A3" s="15" t="s">
        <v>62</v>
      </c>
      <c r="B3" s="15" t="s">
        <v>82</v>
      </c>
      <c r="C3" s="15" t="s">
        <v>51</v>
      </c>
      <c r="D3" s="15" t="s">
        <v>58</v>
      </c>
      <c r="E3" s="15" t="s">
        <v>64</v>
      </c>
    </row>
    <row r="4" spans="1:5" x14ac:dyDescent="0.25">
      <c r="A4" s="15" t="s">
        <v>72</v>
      </c>
      <c r="B4" s="15" t="s">
        <v>117</v>
      </c>
      <c r="C4" s="15" t="s">
        <v>73</v>
      </c>
      <c r="D4" s="15" t="s">
        <v>69</v>
      </c>
      <c r="E4" s="15" t="s">
        <v>84</v>
      </c>
    </row>
    <row r="5" spans="1:5" x14ac:dyDescent="0.25">
      <c r="A5" s="15" t="s">
        <v>92</v>
      </c>
      <c r="B5" s="15" t="s">
        <v>119</v>
      </c>
      <c r="C5" s="15" t="s">
        <v>63</v>
      </c>
      <c r="D5" s="15" t="s">
        <v>124</v>
      </c>
      <c r="E5" s="15" t="s">
        <v>102</v>
      </c>
    </row>
    <row r="6" spans="1:5" x14ac:dyDescent="0.25">
      <c r="A6" s="15" t="s">
        <v>134</v>
      </c>
      <c r="C6" s="15" t="s">
        <v>126</v>
      </c>
      <c r="D6" s="15" t="s">
        <v>125</v>
      </c>
      <c r="E6" s="15" t="s">
        <v>135</v>
      </c>
    </row>
    <row r="7" spans="1:5" x14ac:dyDescent="0.25">
      <c r="A7" s="15" t="s">
        <v>136</v>
      </c>
      <c r="C7" s="15" t="s">
        <v>128</v>
      </c>
      <c r="D7" s="15" t="s">
        <v>127</v>
      </c>
      <c r="E7" s="15" t="s">
        <v>137</v>
      </c>
    </row>
    <row r="8" spans="1:5" x14ac:dyDescent="0.25">
      <c r="C8" s="15" t="s">
        <v>130</v>
      </c>
      <c r="D8" s="15" t="s">
        <v>129</v>
      </c>
      <c r="E8" s="15" t="s">
        <v>138</v>
      </c>
    </row>
    <row r="9" spans="1:5" x14ac:dyDescent="0.25">
      <c r="C9" s="15" t="s">
        <v>131</v>
      </c>
    </row>
    <row r="10" spans="1:5" x14ac:dyDescent="0.25">
      <c r="C10" s="15" t="s">
        <v>83</v>
      </c>
    </row>
    <row r="11" spans="1:5" x14ac:dyDescent="0.25">
      <c r="C11" s="15" t="s">
        <v>93</v>
      </c>
    </row>
    <row r="12" spans="1:5" x14ac:dyDescent="0.25">
      <c r="C12" s="15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8" t="s">
        <v>139</v>
      </c>
    </row>
    <row r="2" spans="1:4" x14ac:dyDescent="0.25">
      <c r="A2" s="9" t="s">
        <v>140</v>
      </c>
      <c r="B2" s="9" t="s">
        <v>141</v>
      </c>
      <c r="C2" s="9" t="s">
        <v>142</v>
      </c>
      <c r="D2" s="9" t="s">
        <v>143</v>
      </c>
    </row>
    <row r="3" spans="1:4" x14ac:dyDescent="0.25">
      <c r="A3" s="19" t="s">
        <v>144</v>
      </c>
      <c r="B3" s="19" t="s">
        <v>145</v>
      </c>
      <c r="C3" s="19" t="s">
        <v>146</v>
      </c>
      <c r="D3" s="19" t="s">
        <v>147</v>
      </c>
    </row>
    <row r="4" spans="1:4" x14ac:dyDescent="0.25">
      <c r="A4" s="20"/>
      <c r="B4" s="20"/>
      <c r="C4" s="20"/>
      <c r="D4" s="20"/>
    </row>
    <row r="5" spans="1:4" x14ac:dyDescent="0.25">
      <c r="A5" s="20"/>
      <c r="B5" s="20"/>
      <c r="C5" s="20"/>
      <c r="D5" s="20"/>
    </row>
    <row r="6" spans="1:4" x14ac:dyDescent="0.25">
      <c r="A6" s="20"/>
      <c r="B6" s="20"/>
      <c r="C6" s="20"/>
      <c r="D6" s="20"/>
    </row>
    <row r="7" spans="1:4" x14ac:dyDescent="0.25">
      <c r="A7" s="20"/>
      <c r="B7" s="20"/>
      <c r="C7" s="20"/>
      <c r="D7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RTM</vt:lpstr>
      <vt:lpstr>Сводка покрытия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2026-06-18T15:19:15Z</dcterms:created>
  <dcterms:modified xsi:type="dcterms:W3CDTF">2026-06-18T16:11:30Z</dcterms:modified>
  <dc:language>en-US</dc:language>
</cp:coreProperties>
</file>