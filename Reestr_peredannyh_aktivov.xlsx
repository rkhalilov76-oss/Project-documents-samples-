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YandexDisk\Проектное управление (шаблоны документов)\Project documents (samples)\"/>
    </mc:Choice>
  </mc:AlternateContent>
  <xr:revisionPtr revIDLastSave="0" documentId="8_{64AEAA15-99E0-41FF-81E5-0760A38CE038}" xr6:coauthVersionLast="47" xr6:coauthVersionMax="47" xr10:uidLastSave="{00000000-0000-0000-0000-000000000000}"/>
  <bookViews>
    <workbookView xWindow="16410" yWindow="1695" windowWidth="25860" windowHeight="16530" tabRatio="500" activeTab="1" xr2:uid="{00000000-000D-0000-FFFF-FFFF00000000}"/>
  </bookViews>
  <sheets>
    <sheet name="Инструкция" sheetId="1" r:id="rId1"/>
    <sheet name="Реестр активов" sheetId="2" r:id="rId2"/>
    <sheet name="Сводка" sheetId="3" r:id="rId3"/>
    <sheet name="Справочники" sheetId="4" r:id="rId4"/>
    <sheet name="Журнал изменений" sheetId="5" r:id="rId5"/>
  </sheets>
  <definedNames>
    <definedName name="_xlnm._FilterDatabase" localSheetId="1" hidden="1">'Реестр активов'!$A$2:$K$82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6" i="3" l="1"/>
  <c r="F15" i="3"/>
  <c r="F14" i="3"/>
  <c r="F13" i="3"/>
  <c r="C13" i="3"/>
  <c r="F12" i="3"/>
  <c r="F11" i="3"/>
  <c r="C11" i="3"/>
  <c r="F10" i="3"/>
  <c r="C10" i="3"/>
  <c r="F9" i="3"/>
  <c r="C9" i="3"/>
  <c r="F8" i="3"/>
  <c r="C8" i="3"/>
  <c r="F7" i="3"/>
  <c r="C7" i="3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C12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2" authorId="0" shapeId="0" xr:uid="{00000000-0006-0000-0100-000001000000}">
      <text>
        <r>
          <rPr>
            <sz val="10"/>
            <rFont val="Arial"/>
            <family val="2"/>
          </rPr>
          <t>Авто: «Не передан» (красным), если статус не «Передан»/«Не требуется». Контроль полноты закрытия.</t>
        </r>
      </text>
    </comment>
  </commentList>
</comments>
</file>

<file path=xl/sharedStrings.xml><?xml version="1.0" encoding="utf-8"?>
<sst xmlns="http://schemas.openxmlformats.org/spreadsheetml/2006/main" count="157" uniqueCount="110">
  <si>
    <t>РЕЕСТР ПЕРЕДАННЫХ АКТИВОВ</t>
  </si>
  <si>
    <t>Итоговый состав поставки — что передаётся Заказчику при закрытии проекта</t>
  </si>
  <si>
    <t>Проект:</t>
  </si>
  <si>
    <t>[Наименование проекта]</t>
  </si>
  <si>
    <t>Заказчик:</t>
  </si>
  <si>
    <t>[Компания-Заказчик]</t>
  </si>
  <si>
    <t>Версия документа:</t>
  </si>
  <si>
    <t>[0.1]</t>
  </si>
  <si>
    <t>Дата:</t>
  </si>
  <si>
    <t>[ДД.ММ.ГГГГ]</t>
  </si>
  <si>
    <t>Владелец документа:</t>
  </si>
  <si>
    <t>[Руководитель проекта]</t>
  </si>
  <si>
    <t>Назначение</t>
  </si>
  <si>
    <t>Реестр фиксирует итоговый состав поставки — все активы, передаваемые Заказчику при закрытии проекта: документацию, конфигурацию и доработки, доступы, учётные записи, лицензии, результаты миграции. Подтверждает полноту передачи и служит приложением к Протоколу завершения проекта и Актам сдачи-приёмки.</t>
  </si>
  <si>
    <t>Состав листов</t>
  </si>
  <si>
    <t>Реестр активов</t>
  </si>
  <si>
    <t>Основной перечень передаваемых активов.</t>
  </si>
  <si>
    <t>Сводка</t>
  </si>
  <si>
    <t>Аналитика по типам и статусу передачи.</t>
  </si>
  <si>
    <t>Справочники</t>
  </si>
  <si>
    <t>Списки значений для выпадающих полей.</t>
  </si>
  <si>
    <t>Журнал изменений</t>
  </si>
  <si>
    <t>Версии документа.</t>
  </si>
  <si>
    <t>Как заполнять</t>
  </si>
  <si>
    <t>•  По каждому активу укажите тип, наименование, форму передачи (где/как передан) и ответственного приёма.</t>
  </si>
  <si>
    <t>•  Статус передачи: Передан / Готов к передаче / Не передан. Подтверждение — ссылка на акт/расписку.</t>
  </si>
  <si>
    <t>•  Поле «Контроль» подсветит активы, ещё не переданные (для контроля полноты закрытия).</t>
  </si>
  <si>
    <t>•  Реестр прикладывается к Протоколу завершения проекта; передача фиксируется подписью в Акте.</t>
  </si>
  <si>
    <t>Реестр переданных активов</t>
  </si>
  <si>
    <t>№</t>
  </si>
  <si>
    <t>Актив (наименование)</t>
  </si>
  <si>
    <t>Тип</t>
  </si>
  <si>
    <t>Описание / состав</t>
  </si>
  <si>
    <t>Форма передачи</t>
  </si>
  <si>
    <t>Куда передан / расположение</t>
  </si>
  <si>
    <t>Статус передачи</t>
  </si>
  <si>
    <t>Контроль</t>
  </si>
  <si>
    <t>Принял (роль/ФИО)</t>
  </si>
  <si>
    <t>Подтверждение (акт)</t>
  </si>
  <si>
    <t>Примечание</t>
  </si>
  <si>
    <t>Комплект проектной документации</t>
  </si>
  <si>
    <t>Документация</t>
  </si>
  <si>
    <t>Все согласованные документы проекта (по реестру документов)</t>
  </si>
  <si>
    <t>Репозиторий/хранилище</t>
  </si>
  <si>
    <t>[ссылка/путь]</t>
  </si>
  <si>
    <t>Передан</t>
  </si>
  <si>
    <t>[ФИО, ИТ-служба]</t>
  </si>
  <si>
    <t>[Акт №…]</t>
  </si>
  <si>
    <t>Конфигурация Системы (релиз)</t>
  </si>
  <si>
    <t>Конфигурация/код</t>
  </si>
  <si>
    <t>Финальная версия конфигурации 1С:ERP+УХ</t>
  </si>
  <si>
    <t>[хранилище конфигурации]</t>
  </si>
  <si>
    <t>[Администратор]</t>
  </si>
  <si>
    <t>Версия из Журнала версий</t>
  </si>
  <si>
    <t>Доработки и расширения</t>
  </si>
  <si>
    <t>Доработки/расширения</t>
  </si>
  <si>
    <t>Файлы расширений, внешние обработки/отчёты</t>
  </si>
  <si>
    <t>[путь]</t>
  </si>
  <si>
    <t>Связ. с Реестром доработок</t>
  </si>
  <si>
    <t>Учётные записи и доступы</t>
  </si>
  <si>
    <t>Доступы/учётные записи</t>
  </si>
  <si>
    <t>Администраторские и сервисные УЗ, пароли</t>
  </si>
  <si>
    <t>Передача доступа</t>
  </si>
  <si>
    <t>[передано лично/в сейф-хранилище]</t>
  </si>
  <si>
    <t>Готов к передаче</t>
  </si>
  <si>
    <t>[ИТ-служба]</t>
  </si>
  <si>
    <t>[расписка]</t>
  </si>
  <si>
    <t>Смена паролей при передаче</t>
  </si>
  <si>
    <t>Результаты миграции данных</t>
  </si>
  <si>
    <t>Результаты миграции</t>
  </si>
  <si>
    <t>Протоколы миграции и сверки, перенесённые данные в продуктиве</t>
  </si>
  <si>
    <t>Портал проекта</t>
  </si>
  <si>
    <t>[ссылка]</t>
  </si>
  <si>
    <t>[Архитектор данных]</t>
  </si>
  <si>
    <t>[Протокол сверки]</t>
  </si>
  <si>
    <t>Учебные материалы</t>
  </si>
  <si>
    <t>Курсы, инструкции, записи обучения</t>
  </si>
  <si>
    <t>[Тренер]</t>
  </si>
  <si>
    <t>Лицензии 1С</t>
  </si>
  <si>
    <t>Лицензии</t>
  </si>
  <si>
    <t>Лицензии на платформу и конфигурации</t>
  </si>
  <si>
    <t>Акт-расписка</t>
  </si>
  <si>
    <t>[передано]</t>
  </si>
  <si>
    <t>Не передан</t>
  </si>
  <si>
    <t>[уточнить состав]</t>
  </si>
  <si>
    <t>Сводка по передаче активов</t>
  </si>
  <si>
    <t>Считается автоматически по листу «Реестр активов».</t>
  </si>
  <si>
    <t>По статусу передачи</t>
  </si>
  <si>
    <t>По типу актива</t>
  </si>
  <si>
    <t>Статус</t>
  </si>
  <si>
    <t>Кол-во</t>
  </si>
  <si>
    <t>Не требуется</t>
  </si>
  <si>
    <t>База данных</t>
  </si>
  <si>
    <t>Всего активов</t>
  </si>
  <si>
    <t>Не передано (контроль)</t>
  </si>
  <si>
    <t>% переданных</t>
  </si>
  <si>
    <t>Исходные материалы</t>
  </si>
  <si>
    <t>Прочее</t>
  </si>
  <si>
    <t>Тип актива</t>
  </si>
  <si>
    <t>Физический носитель</t>
  </si>
  <si>
    <t>Эл. почта</t>
  </si>
  <si>
    <t>Журнал изменений документа</t>
  </si>
  <si>
    <t>Версия</t>
  </si>
  <si>
    <t>Дата</t>
  </si>
  <si>
    <t>Описание изменений</t>
  </si>
  <si>
    <t>Автор</t>
  </si>
  <si>
    <t>0.1</t>
  </si>
  <si>
    <t>ДД.ММ.ГГГГ</t>
  </si>
  <si>
    <t>Создание документа</t>
  </si>
  <si>
    <t>ФИО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</si>
</sst>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6"/>
      <color rgb="FF1F4E79"/>
      <name val="Arial"/>
      <charset val="1"/>
    </font>
    <font>
      <i/>
      <sz val="10"/>
      <color rgb="FF808080"/>
      <name val="Arial"/>
      <charset val="1"/>
    </font>
    <font>
      <b/>
      <sz val="10"/>
      <name val="Arial"/>
      <charset val="1"/>
    </font>
    <font>
      <sz val="10"/>
      <color rgb="FF2E75B6"/>
      <name val="Arial"/>
      <charset val="1"/>
    </font>
    <font>
      <b/>
      <sz val="12"/>
      <color rgb="FF2E75B6"/>
      <name val="Arial"/>
      <charset val="1"/>
    </font>
    <font>
      <sz val="10"/>
      <name val="Arial"/>
      <charset val="1"/>
    </font>
    <font>
      <b/>
      <sz val="14"/>
      <color rgb="FF1F4E79"/>
      <name val="Arial"/>
      <charset val="1"/>
    </font>
    <font>
      <b/>
      <sz val="10"/>
      <color rgb="FFFFFFFF"/>
      <name val="Arial"/>
      <charset val="1"/>
    </font>
    <font>
      <i/>
      <sz val="10"/>
      <color rgb="FF2E75B6"/>
      <name val="Arial"/>
      <charset val="1"/>
    </font>
    <font>
      <sz val="10"/>
      <name val="Arial"/>
      <family val="2"/>
    </font>
    <font>
      <b/>
      <sz val="11"/>
      <name val="Arial"/>
      <charset val="1"/>
    </font>
    <font>
      <b/>
      <sz val="11"/>
      <color rgb="FF1F4E79"/>
      <name val="Arial"/>
      <charset val="1"/>
    </font>
    <font>
      <b/>
      <sz val="13"/>
      <color rgb="FF1F4E79"/>
      <name val="Arial"/>
      <charset val="1"/>
    </font>
    <font>
      <sz val="10"/>
      <color rgb="FF0000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C6E0B4"/>
        <bgColor rgb="FFD9D9D9"/>
      </patternFill>
    </fill>
    <fill>
      <patternFill patternType="solid">
        <fgColor rgb="FFFFE699"/>
        <bgColor rgb="FFFFCC99"/>
      </patternFill>
    </fill>
    <fill>
      <patternFill patternType="solid">
        <fgColor rgb="FFFCE4D6"/>
        <bgColor rgb="FFFFE699"/>
      </patternFill>
    </fill>
    <fill>
      <patternFill patternType="solid">
        <fgColor rgb="FFD9D9D9"/>
        <bgColor rgb="FFC6E0B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vertical="top" wrapText="1"/>
    </xf>
    <xf numFmtId="0" fontId="3" fillId="3" borderId="1" xfId="0" applyFont="1" applyFill="1" applyBorder="1"/>
    <xf numFmtId="0" fontId="11" fillId="0" borderId="1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 applyAlignment="1">
      <alignment horizontal="center"/>
    </xf>
    <xf numFmtId="0" fontId="3" fillId="4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3" fillId="0" borderId="1" xfId="0" applyFont="1" applyBorder="1"/>
    <xf numFmtId="0" fontId="12" fillId="0" borderId="1" xfId="0" applyFont="1" applyBorder="1" applyAlignment="1">
      <alignment horizontal="center"/>
    </xf>
    <xf numFmtId="9" fontId="12" fillId="0" borderId="1" xfId="0" applyNumberFormat="1" applyFont="1" applyBorder="1" applyAlignment="1">
      <alignment horizontal="center"/>
    </xf>
    <xf numFmtId="0" fontId="13" fillId="0" borderId="0" xfId="0" applyFont="1"/>
    <xf numFmtId="0" fontId="9" fillId="0" borderId="1" xfId="0" applyFont="1" applyBorder="1"/>
    <xf numFmtId="0" fontId="14" fillId="0" borderId="1" xfId="0" applyFont="1" applyBorder="1"/>
  </cellXfs>
  <cellStyles count="1">
    <cellStyle name="Обычный" xfId="0" builtinId="0"/>
  </cellStyles>
  <dxfs count="6">
    <dxf>
      <font>
        <b/>
        <color rgb="FFFFFFFF"/>
      </font>
      <fill>
        <patternFill>
          <bgColor rgb="FFC00000"/>
        </patternFill>
      </fill>
    </dxf>
    <dxf>
      <font>
        <color rgb="FF7F6000"/>
      </font>
      <fill>
        <patternFill>
          <bgColor rgb="FFFFE699"/>
        </patternFill>
      </fill>
    </dxf>
    <dxf>
      <font>
        <color rgb="FF843C0C"/>
      </font>
      <fill>
        <patternFill>
          <bgColor rgb="FFFCE4D6"/>
        </patternFill>
      </fill>
    </dxf>
    <dxf>
      <font>
        <b/>
        <color rgb="FF375623"/>
      </font>
      <fill>
        <patternFill>
          <bgColor rgb="FFC6E0B4"/>
        </patternFill>
      </fill>
    </dxf>
    <dxf>
      <font>
        <b/>
        <color rgb="FF375623"/>
      </font>
      <fill>
        <patternFill>
          <bgColor rgb="FFC6E0B4"/>
        </patternFill>
      </fill>
    </dxf>
    <dxf>
      <font>
        <b/>
        <color rgb="FFFFFFFF"/>
      </font>
      <fill>
        <patternFill>
          <bgColor rgb="FFC0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43C0C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4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32" customWidth="1"/>
    <col min="3" max="3" width="95" customWidth="1"/>
  </cols>
  <sheetData>
    <row r="2" spans="2:3" ht="20.25" x14ac:dyDescent="0.3">
      <c r="B2" s="1" t="s">
        <v>0</v>
      </c>
    </row>
    <row r="3" spans="2:3" x14ac:dyDescent="0.25">
      <c r="B3" s="2" t="s">
        <v>1</v>
      </c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1" spans="2:3" ht="15.75" x14ac:dyDescent="0.25">
      <c r="B11" s="5" t="s">
        <v>12</v>
      </c>
    </row>
    <row r="12" spans="2:3" ht="55.5" customHeight="1" x14ac:dyDescent="0.25">
      <c r="C12" s="6" t="s">
        <v>13</v>
      </c>
    </row>
    <row r="14" spans="2:3" ht="15.75" x14ac:dyDescent="0.25">
      <c r="B14" s="5" t="s">
        <v>14</v>
      </c>
    </row>
    <row r="15" spans="2:3" x14ac:dyDescent="0.25">
      <c r="B15" s="3" t="s">
        <v>15</v>
      </c>
      <c r="C15" s="7" t="s">
        <v>16</v>
      </c>
    </row>
    <row r="16" spans="2:3" x14ac:dyDescent="0.25">
      <c r="B16" s="3" t="s">
        <v>17</v>
      </c>
      <c r="C16" s="7" t="s">
        <v>18</v>
      </c>
    </row>
    <row r="17" spans="2:3" x14ac:dyDescent="0.25">
      <c r="B17" s="3" t="s">
        <v>19</v>
      </c>
      <c r="C17" s="7" t="s">
        <v>20</v>
      </c>
    </row>
    <row r="18" spans="2:3" x14ac:dyDescent="0.25">
      <c r="B18" s="3" t="s">
        <v>21</v>
      </c>
      <c r="C18" s="7" t="s">
        <v>22</v>
      </c>
    </row>
    <row r="20" spans="2:3" ht="15.75" x14ac:dyDescent="0.25">
      <c r="B20" s="5" t="s">
        <v>23</v>
      </c>
    </row>
    <row r="21" spans="2:3" ht="27.75" customHeight="1" x14ac:dyDescent="0.25">
      <c r="C21" s="7" t="s">
        <v>24</v>
      </c>
    </row>
    <row r="22" spans="2:3" ht="27.75" customHeight="1" x14ac:dyDescent="0.25">
      <c r="C22" s="7" t="s">
        <v>25</v>
      </c>
    </row>
    <row r="23" spans="2:3" ht="27.75" customHeight="1" x14ac:dyDescent="0.25">
      <c r="C23" s="7" t="s">
        <v>26</v>
      </c>
    </row>
    <row r="24" spans="2:3" ht="27.75" customHeight="1" x14ac:dyDescent="0.25">
      <c r="C24" s="7" t="s">
        <v>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2"/>
  <sheetViews>
    <sheetView showGridLines="0"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9" sqref="B9"/>
    </sheetView>
  </sheetViews>
  <sheetFormatPr defaultColWidth="8.7109375" defaultRowHeight="15" x14ac:dyDescent="0.25"/>
  <cols>
    <col min="1" max="1" width="6" customWidth="1"/>
    <col min="2" max="2" width="36" customWidth="1"/>
    <col min="3" max="3" width="20" customWidth="1"/>
    <col min="4" max="4" width="30" customWidth="1"/>
    <col min="5" max="5" width="22" customWidth="1"/>
    <col min="6" max="6" width="26" customWidth="1"/>
    <col min="7" max="7" width="16" customWidth="1"/>
    <col min="8" max="8" width="12" customWidth="1"/>
    <col min="9" max="10" width="20" customWidth="1"/>
    <col min="11" max="11" width="22" customWidth="1"/>
  </cols>
  <sheetData>
    <row r="1" spans="1:11" ht="18" x14ac:dyDescent="0.25">
      <c r="A1" s="8" t="s">
        <v>28</v>
      </c>
    </row>
    <row r="2" spans="1:11" ht="37.5" customHeight="1" x14ac:dyDescent="0.25">
      <c r="A2" s="9" t="s">
        <v>29</v>
      </c>
      <c r="B2" s="9" t="s">
        <v>30</v>
      </c>
      <c r="C2" s="9" t="s">
        <v>31</v>
      </c>
      <c r="D2" s="9" t="s">
        <v>32</v>
      </c>
      <c r="E2" s="9" t="s">
        <v>33</v>
      </c>
      <c r="F2" s="9" t="s">
        <v>34</v>
      </c>
      <c r="G2" s="9" t="s">
        <v>35</v>
      </c>
      <c r="H2" s="9" t="s">
        <v>36</v>
      </c>
      <c r="I2" s="9" t="s">
        <v>37</v>
      </c>
      <c r="J2" s="9" t="s">
        <v>38</v>
      </c>
      <c r="K2" s="9" t="s">
        <v>39</v>
      </c>
    </row>
    <row r="3" spans="1:11" ht="38.25" x14ac:dyDescent="0.25">
      <c r="A3" s="10">
        <v>1</v>
      </c>
      <c r="B3" s="10" t="s">
        <v>40</v>
      </c>
      <c r="C3" s="10" t="s">
        <v>41</v>
      </c>
      <c r="D3" s="10" t="s">
        <v>42</v>
      </c>
      <c r="E3" s="10" t="s">
        <v>43</v>
      </c>
      <c r="F3" s="10" t="s">
        <v>44</v>
      </c>
      <c r="G3" s="10" t="s">
        <v>45</v>
      </c>
      <c r="H3" s="11" t="str">
        <f t="shared" ref="H3:H34" si="0">IF(A3="","",IF(OR(G3="Передан",G3="Не требуется"),"OK",IF(G3="","","Не передан")))</f>
        <v>OK</v>
      </c>
      <c r="I3" s="10" t="s">
        <v>46</v>
      </c>
      <c r="J3" s="10" t="s">
        <v>47</v>
      </c>
      <c r="K3" s="10"/>
    </row>
    <row r="4" spans="1:11" ht="25.5" x14ac:dyDescent="0.25">
      <c r="A4" s="10">
        <v>2</v>
      </c>
      <c r="B4" s="10" t="s">
        <v>48</v>
      </c>
      <c r="C4" s="10" t="s">
        <v>49</v>
      </c>
      <c r="D4" s="10" t="s">
        <v>50</v>
      </c>
      <c r="E4" s="10" t="s">
        <v>43</v>
      </c>
      <c r="F4" s="10" t="s">
        <v>51</v>
      </c>
      <c r="G4" s="10" t="s">
        <v>45</v>
      </c>
      <c r="H4" s="11" t="str">
        <f t="shared" si="0"/>
        <v>OK</v>
      </c>
      <c r="I4" s="10" t="s">
        <v>52</v>
      </c>
      <c r="J4" s="10" t="s">
        <v>47</v>
      </c>
      <c r="K4" s="10" t="s">
        <v>53</v>
      </c>
    </row>
    <row r="5" spans="1:11" ht="25.5" x14ac:dyDescent="0.25">
      <c r="A5" s="10">
        <v>3</v>
      </c>
      <c r="B5" s="10" t="s">
        <v>54</v>
      </c>
      <c r="C5" s="10" t="s">
        <v>55</v>
      </c>
      <c r="D5" s="10" t="s">
        <v>56</v>
      </c>
      <c r="E5" s="10" t="s">
        <v>43</v>
      </c>
      <c r="F5" s="10" t="s">
        <v>57</v>
      </c>
      <c r="G5" s="10" t="s">
        <v>45</v>
      </c>
      <c r="H5" s="11" t="str">
        <f t="shared" si="0"/>
        <v>OK</v>
      </c>
      <c r="I5" s="10" t="s">
        <v>52</v>
      </c>
      <c r="J5" s="10" t="s">
        <v>47</v>
      </c>
      <c r="K5" s="10" t="s">
        <v>58</v>
      </c>
    </row>
    <row r="6" spans="1:11" ht="25.5" x14ac:dyDescent="0.25">
      <c r="A6" s="10">
        <v>4</v>
      </c>
      <c r="B6" s="10" t="s">
        <v>59</v>
      </c>
      <c r="C6" s="10" t="s">
        <v>60</v>
      </c>
      <c r="D6" s="10" t="s">
        <v>61</v>
      </c>
      <c r="E6" s="10" t="s">
        <v>62</v>
      </c>
      <c r="F6" s="10" t="s">
        <v>63</v>
      </c>
      <c r="G6" s="10" t="s">
        <v>64</v>
      </c>
      <c r="H6" s="11" t="str">
        <f t="shared" si="0"/>
        <v>Не передан</v>
      </c>
      <c r="I6" s="10" t="s">
        <v>65</v>
      </c>
      <c r="J6" s="10" t="s">
        <v>66</v>
      </c>
      <c r="K6" s="10" t="s">
        <v>67</v>
      </c>
    </row>
    <row r="7" spans="1:11" ht="38.25" x14ac:dyDescent="0.25">
      <c r="A7" s="10">
        <v>5</v>
      </c>
      <c r="B7" s="10" t="s">
        <v>68</v>
      </c>
      <c r="C7" s="10" t="s">
        <v>69</v>
      </c>
      <c r="D7" s="10" t="s">
        <v>70</v>
      </c>
      <c r="E7" s="10" t="s">
        <v>71</v>
      </c>
      <c r="F7" s="10" t="s">
        <v>72</v>
      </c>
      <c r="G7" s="10" t="s">
        <v>45</v>
      </c>
      <c r="H7" s="11" t="str">
        <f t="shared" si="0"/>
        <v>OK</v>
      </c>
      <c r="I7" s="10" t="s">
        <v>73</v>
      </c>
      <c r="J7" s="10" t="s">
        <v>74</v>
      </c>
      <c r="K7" s="10"/>
    </row>
    <row r="8" spans="1:11" ht="25.5" x14ac:dyDescent="0.25">
      <c r="A8" s="10">
        <v>6</v>
      </c>
      <c r="B8" s="10" t="s">
        <v>75</v>
      </c>
      <c r="C8" s="10" t="s">
        <v>75</v>
      </c>
      <c r="D8" s="10" t="s">
        <v>76</v>
      </c>
      <c r="E8" s="10" t="s">
        <v>71</v>
      </c>
      <c r="F8" s="10" t="s">
        <v>72</v>
      </c>
      <c r="G8" s="10" t="s">
        <v>45</v>
      </c>
      <c r="H8" s="11" t="str">
        <f t="shared" si="0"/>
        <v>OK</v>
      </c>
      <c r="I8" s="10" t="s">
        <v>77</v>
      </c>
      <c r="J8" s="10" t="s">
        <v>47</v>
      </c>
      <c r="K8" s="10"/>
    </row>
    <row r="9" spans="1:11" ht="25.5" x14ac:dyDescent="0.25">
      <c r="A9" s="10">
        <v>7</v>
      </c>
      <c r="B9" s="10" t="s">
        <v>78</v>
      </c>
      <c r="C9" s="10" t="s">
        <v>79</v>
      </c>
      <c r="D9" s="10" t="s">
        <v>80</v>
      </c>
      <c r="E9" s="10" t="s">
        <v>81</v>
      </c>
      <c r="F9" s="10" t="s">
        <v>82</v>
      </c>
      <c r="G9" s="10" t="s">
        <v>83</v>
      </c>
      <c r="H9" s="11" t="str">
        <f t="shared" si="0"/>
        <v>Не передан</v>
      </c>
      <c r="I9" s="10" t="s">
        <v>65</v>
      </c>
      <c r="J9" s="10" t="s">
        <v>47</v>
      </c>
      <c r="K9" s="10" t="s">
        <v>84</v>
      </c>
    </row>
    <row r="10" spans="1:11" x14ac:dyDescent="0.25">
      <c r="A10" s="12"/>
      <c r="B10" s="12"/>
      <c r="C10" s="12"/>
      <c r="D10" s="12"/>
      <c r="E10" s="12"/>
      <c r="F10" s="12"/>
      <c r="G10" s="12"/>
      <c r="H10" s="11" t="str">
        <f t="shared" si="0"/>
        <v/>
      </c>
      <c r="I10" s="12"/>
      <c r="J10" s="12"/>
      <c r="K10" s="12"/>
    </row>
    <row r="11" spans="1:11" x14ac:dyDescent="0.25">
      <c r="A11" s="12"/>
      <c r="B11" s="12"/>
      <c r="C11" s="12"/>
      <c r="D11" s="12"/>
      <c r="E11" s="12"/>
      <c r="F11" s="12"/>
      <c r="G11" s="12"/>
      <c r="H11" s="11" t="str">
        <f t="shared" si="0"/>
        <v/>
      </c>
      <c r="I11" s="12"/>
      <c r="J11" s="12"/>
      <c r="K11" s="12"/>
    </row>
    <row r="12" spans="1:11" x14ac:dyDescent="0.25">
      <c r="A12" s="12"/>
      <c r="B12" s="12"/>
      <c r="C12" s="12"/>
      <c r="D12" s="12"/>
      <c r="E12" s="12"/>
      <c r="F12" s="12"/>
      <c r="G12" s="12"/>
      <c r="H12" s="11" t="str">
        <f t="shared" si="0"/>
        <v/>
      </c>
      <c r="I12" s="12"/>
      <c r="J12" s="12"/>
      <c r="K12" s="12"/>
    </row>
    <row r="13" spans="1:11" x14ac:dyDescent="0.25">
      <c r="A13" s="12"/>
      <c r="B13" s="12"/>
      <c r="C13" s="12"/>
      <c r="D13" s="12"/>
      <c r="E13" s="12"/>
      <c r="F13" s="12"/>
      <c r="G13" s="12"/>
      <c r="H13" s="11" t="str">
        <f t="shared" si="0"/>
        <v/>
      </c>
      <c r="I13" s="12"/>
      <c r="J13" s="12"/>
      <c r="K13" s="12"/>
    </row>
    <row r="14" spans="1:11" x14ac:dyDescent="0.25">
      <c r="A14" s="12"/>
      <c r="B14" s="12"/>
      <c r="C14" s="12"/>
      <c r="D14" s="12"/>
      <c r="E14" s="12"/>
      <c r="F14" s="12"/>
      <c r="G14" s="12"/>
      <c r="H14" s="11" t="str">
        <f t="shared" si="0"/>
        <v/>
      </c>
      <c r="I14" s="12"/>
      <c r="J14" s="12"/>
      <c r="K14" s="12"/>
    </row>
    <row r="15" spans="1:11" x14ac:dyDescent="0.25">
      <c r="A15" s="12"/>
      <c r="B15" s="12"/>
      <c r="C15" s="12"/>
      <c r="D15" s="12"/>
      <c r="E15" s="12"/>
      <c r="F15" s="12"/>
      <c r="G15" s="12"/>
      <c r="H15" s="11" t="str">
        <f t="shared" si="0"/>
        <v/>
      </c>
      <c r="I15" s="12"/>
      <c r="J15" s="12"/>
      <c r="K15" s="12"/>
    </row>
    <row r="16" spans="1:11" x14ac:dyDescent="0.25">
      <c r="A16" s="12"/>
      <c r="B16" s="12"/>
      <c r="C16" s="12"/>
      <c r="D16" s="12"/>
      <c r="E16" s="12"/>
      <c r="F16" s="12"/>
      <c r="G16" s="12"/>
      <c r="H16" s="11" t="str">
        <f t="shared" si="0"/>
        <v/>
      </c>
      <c r="I16" s="12"/>
      <c r="J16" s="12"/>
      <c r="K16" s="12"/>
    </row>
    <row r="17" spans="1:11" x14ac:dyDescent="0.25">
      <c r="A17" s="12"/>
      <c r="B17" s="12"/>
      <c r="C17" s="12"/>
      <c r="D17" s="12"/>
      <c r="E17" s="12"/>
      <c r="F17" s="12"/>
      <c r="G17" s="12"/>
      <c r="H17" s="11" t="str">
        <f t="shared" si="0"/>
        <v/>
      </c>
      <c r="I17" s="12"/>
      <c r="J17" s="12"/>
      <c r="K17" s="12"/>
    </row>
    <row r="18" spans="1:11" x14ac:dyDescent="0.25">
      <c r="A18" s="12"/>
      <c r="B18" s="12"/>
      <c r="C18" s="12"/>
      <c r="D18" s="12"/>
      <c r="E18" s="12"/>
      <c r="F18" s="12"/>
      <c r="G18" s="12"/>
      <c r="H18" s="11" t="str">
        <f t="shared" si="0"/>
        <v/>
      </c>
      <c r="I18" s="12"/>
      <c r="J18" s="12"/>
      <c r="K18" s="12"/>
    </row>
    <row r="19" spans="1:11" x14ac:dyDescent="0.25">
      <c r="A19" s="12"/>
      <c r="B19" s="12"/>
      <c r="C19" s="12"/>
      <c r="D19" s="12"/>
      <c r="E19" s="12"/>
      <c r="F19" s="12"/>
      <c r="G19" s="12"/>
      <c r="H19" s="11" t="str">
        <f t="shared" si="0"/>
        <v/>
      </c>
      <c r="I19" s="12"/>
      <c r="J19" s="12"/>
      <c r="K19" s="12"/>
    </row>
    <row r="20" spans="1:11" x14ac:dyDescent="0.25">
      <c r="A20" s="12"/>
      <c r="B20" s="12"/>
      <c r="C20" s="12"/>
      <c r="D20" s="12"/>
      <c r="E20" s="12"/>
      <c r="F20" s="12"/>
      <c r="G20" s="12"/>
      <c r="H20" s="11" t="str">
        <f t="shared" si="0"/>
        <v/>
      </c>
      <c r="I20" s="12"/>
      <c r="J20" s="12"/>
      <c r="K20" s="12"/>
    </row>
    <row r="21" spans="1:11" x14ac:dyDescent="0.25">
      <c r="A21" s="12"/>
      <c r="B21" s="12"/>
      <c r="C21" s="12"/>
      <c r="D21" s="12"/>
      <c r="E21" s="12"/>
      <c r="F21" s="12"/>
      <c r="G21" s="12"/>
      <c r="H21" s="11" t="str">
        <f t="shared" si="0"/>
        <v/>
      </c>
      <c r="I21" s="12"/>
      <c r="J21" s="12"/>
      <c r="K21" s="12"/>
    </row>
    <row r="22" spans="1:11" x14ac:dyDescent="0.25">
      <c r="A22" s="12"/>
      <c r="B22" s="12"/>
      <c r="C22" s="12"/>
      <c r="D22" s="12"/>
      <c r="E22" s="12"/>
      <c r="F22" s="12"/>
      <c r="G22" s="12"/>
      <c r="H22" s="11" t="str">
        <f t="shared" si="0"/>
        <v/>
      </c>
      <c r="I22" s="12"/>
      <c r="J22" s="12"/>
      <c r="K22" s="12"/>
    </row>
    <row r="23" spans="1:11" x14ac:dyDescent="0.25">
      <c r="A23" s="12"/>
      <c r="B23" s="12"/>
      <c r="C23" s="12"/>
      <c r="D23" s="12"/>
      <c r="E23" s="12"/>
      <c r="F23" s="12"/>
      <c r="G23" s="12"/>
      <c r="H23" s="11" t="str">
        <f t="shared" si="0"/>
        <v/>
      </c>
      <c r="I23" s="12"/>
      <c r="J23" s="12"/>
      <c r="K23" s="12"/>
    </row>
    <row r="24" spans="1:11" x14ac:dyDescent="0.25">
      <c r="A24" s="12"/>
      <c r="B24" s="12"/>
      <c r="C24" s="12"/>
      <c r="D24" s="12"/>
      <c r="E24" s="12"/>
      <c r="F24" s="12"/>
      <c r="G24" s="12"/>
      <c r="H24" s="11" t="str">
        <f t="shared" si="0"/>
        <v/>
      </c>
      <c r="I24" s="12"/>
      <c r="J24" s="12"/>
      <c r="K24" s="12"/>
    </row>
    <row r="25" spans="1:11" x14ac:dyDescent="0.25">
      <c r="A25" s="12"/>
      <c r="B25" s="12"/>
      <c r="C25" s="12"/>
      <c r="D25" s="12"/>
      <c r="E25" s="12"/>
      <c r="F25" s="12"/>
      <c r="G25" s="12"/>
      <c r="H25" s="11" t="str">
        <f t="shared" si="0"/>
        <v/>
      </c>
      <c r="I25" s="12"/>
      <c r="J25" s="12"/>
      <c r="K25" s="12"/>
    </row>
    <row r="26" spans="1:11" x14ac:dyDescent="0.25">
      <c r="A26" s="12"/>
      <c r="B26" s="12"/>
      <c r="C26" s="12"/>
      <c r="D26" s="12"/>
      <c r="E26" s="12"/>
      <c r="F26" s="12"/>
      <c r="G26" s="12"/>
      <c r="H26" s="11" t="str">
        <f t="shared" si="0"/>
        <v/>
      </c>
      <c r="I26" s="12"/>
      <c r="J26" s="12"/>
      <c r="K26" s="12"/>
    </row>
    <row r="27" spans="1:11" x14ac:dyDescent="0.25">
      <c r="A27" s="12"/>
      <c r="B27" s="12"/>
      <c r="C27" s="12"/>
      <c r="D27" s="12"/>
      <c r="E27" s="12"/>
      <c r="F27" s="12"/>
      <c r="G27" s="12"/>
      <c r="H27" s="11" t="str">
        <f t="shared" si="0"/>
        <v/>
      </c>
      <c r="I27" s="12"/>
      <c r="J27" s="12"/>
      <c r="K27" s="12"/>
    </row>
    <row r="28" spans="1:11" x14ac:dyDescent="0.25">
      <c r="A28" s="12"/>
      <c r="B28" s="12"/>
      <c r="C28" s="12"/>
      <c r="D28" s="12"/>
      <c r="E28" s="12"/>
      <c r="F28" s="12"/>
      <c r="G28" s="12"/>
      <c r="H28" s="11" t="str">
        <f t="shared" si="0"/>
        <v/>
      </c>
      <c r="I28" s="12"/>
      <c r="J28" s="12"/>
      <c r="K28" s="12"/>
    </row>
    <row r="29" spans="1:11" x14ac:dyDescent="0.25">
      <c r="A29" s="12"/>
      <c r="B29" s="12"/>
      <c r="C29" s="12"/>
      <c r="D29" s="12"/>
      <c r="E29" s="12"/>
      <c r="F29" s="12"/>
      <c r="G29" s="12"/>
      <c r="H29" s="11" t="str">
        <f t="shared" si="0"/>
        <v/>
      </c>
      <c r="I29" s="12"/>
      <c r="J29" s="12"/>
      <c r="K29" s="12"/>
    </row>
    <row r="30" spans="1:11" x14ac:dyDescent="0.25">
      <c r="A30" s="12"/>
      <c r="B30" s="12"/>
      <c r="C30" s="12"/>
      <c r="D30" s="12"/>
      <c r="E30" s="12"/>
      <c r="F30" s="12"/>
      <c r="G30" s="12"/>
      <c r="H30" s="11" t="str">
        <f t="shared" si="0"/>
        <v/>
      </c>
      <c r="I30" s="12"/>
      <c r="J30" s="12"/>
      <c r="K30" s="12"/>
    </row>
    <row r="31" spans="1:11" x14ac:dyDescent="0.25">
      <c r="A31" s="12"/>
      <c r="B31" s="12"/>
      <c r="C31" s="12"/>
      <c r="D31" s="12"/>
      <c r="E31" s="12"/>
      <c r="F31" s="12"/>
      <c r="G31" s="12"/>
      <c r="H31" s="11" t="str">
        <f t="shared" si="0"/>
        <v/>
      </c>
      <c r="I31" s="12"/>
      <c r="J31" s="12"/>
      <c r="K31" s="12"/>
    </row>
    <row r="32" spans="1:11" x14ac:dyDescent="0.25">
      <c r="A32" s="12"/>
      <c r="B32" s="12"/>
      <c r="C32" s="12"/>
      <c r="D32" s="12"/>
      <c r="E32" s="12"/>
      <c r="F32" s="12"/>
      <c r="G32" s="12"/>
      <c r="H32" s="11" t="str">
        <f t="shared" si="0"/>
        <v/>
      </c>
      <c r="I32" s="12"/>
      <c r="J32" s="12"/>
      <c r="K32" s="12"/>
    </row>
    <row r="33" spans="1:11" x14ac:dyDescent="0.25">
      <c r="A33" s="12"/>
      <c r="B33" s="12"/>
      <c r="C33" s="12"/>
      <c r="D33" s="12"/>
      <c r="E33" s="12"/>
      <c r="F33" s="12"/>
      <c r="G33" s="12"/>
      <c r="H33" s="11" t="str">
        <f t="shared" si="0"/>
        <v/>
      </c>
      <c r="I33" s="12"/>
      <c r="J33" s="12"/>
      <c r="K33" s="12"/>
    </row>
    <row r="34" spans="1:11" x14ac:dyDescent="0.25">
      <c r="A34" s="12"/>
      <c r="B34" s="12"/>
      <c r="C34" s="12"/>
      <c r="D34" s="12"/>
      <c r="E34" s="12"/>
      <c r="F34" s="12"/>
      <c r="G34" s="12"/>
      <c r="H34" s="11" t="str">
        <f t="shared" si="0"/>
        <v/>
      </c>
      <c r="I34" s="12"/>
      <c r="J34" s="12"/>
      <c r="K34" s="12"/>
    </row>
    <row r="35" spans="1:11" x14ac:dyDescent="0.25">
      <c r="A35" s="12"/>
      <c r="B35" s="12"/>
      <c r="C35" s="12"/>
      <c r="D35" s="12"/>
      <c r="E35" s="12"/>
      <c r="F35" s="12"/>
      <c r="G35" s="12"/>
      <c r="H35" s="11" t="str">
        <f t="shared" ref="H35:H66" si="1">IF(A35="","",IF(OR(G35="Передан",G35="Не требуется"),"OK",IF(G35="","","Не передан")))</f>
        <v/>
      </c>
      <c r="I35" s="12"/>
      <c r="J35" s="12"/>
      <c r="K35" s="12"/>
    </row>
    <row r="36" spans="1:11" x14ac:dyDescent="0.25">
      <c r="A36" s="12"/>
      <c r="B36" s="12"/>
      <c r="C36" s="12"/>
      <c r="D36" s="12"/>
      <c r="E36" s="12"/>
      <c r="F36" s="12"/>
      <c r="G36" s="12"/>
      <c r="H36" s="11" t="str">
        <f t="shared" si="1"/>
        <v/>
      </c>
      <c r="I36" s="12"/>
      <c r="J36" s="12"/>
      <c r="K36" s="12"/>
    </row>
    <row r="37" spans="1:11" x14ac:dyDescent="0.25">
      <c r="A37" s="12"/>
      <c r="B37" s="12"/>
      <c r="C37" s="12"/>
      <c r="D37" s="12"/>
      <c r="E37" s="12"/>
      <c r="F37" s="12"/>
      <c r="G37" s="12"/>
      <c r="H37" s="11" t="str">
        <f t="shared" si="1"/>
        <v/>
      </c>
      <c r="I37" s="12"/>
      <c r="J37" s="12"/>
      <c r="K37" s="12"/>
    </row>
    <row r="38" spans="1:11" x14ac:dyDescent="0.25">
      <c r="A38" s="12"/>
      <c r="B38" s="12"/>
      <c r="C38" s="12"/>
      <c r="D38" s="12"/>
      <c r="E38" s="12"/>
      <c r="F38" s="12"/>
      <c r="G38" s="12"/>
      <c r="H38" s="11" t="str">
        <f t="shared" si="1"/>
        <v/>
      </c>
      <c r="I38" s="12"/>
      <c r="J38" s="12"/>
      <c r="K38" s="12"/>
    </row>
    <row r="39" spans="1:11" x14ac:dyDescent="0.25">
      <c r="A39" s="12"/>
      <c r="B39" s="12"/>
      <c r="C39" s="12"/>
      <c r="D39" s="12"/>
      <c r="E39" s="12"/>
      <c r="F39" s="12"/>
      <c r="G39" s="12"/>
      <c r="H39" s="11" t="str">
        <f t="shared" si="1"/>
        <v/>
      </c>
      <c r="I39" s="12"/>
      <c r="J39" s="12"/>
      <c r="K39" s="12"/>
    </row>
    <row r="40" spans="1:11" x14ac:dyDescent="0.25">
      <c r="A40" s="12"/>
      <c r="B40" s="12"/>
      <c r="C40" s="12"/>
      <c r="D40" s="12"/>
      <c r="E40" s="12"/>
      <c r="F40" s="12"/>
      <c r="G40" s="12"/>
      <c r="H40" s="11" t="str">
        <f t="shared" si="1"/>
        <v/>
      </c>
      <c r="I40" s="12"/>
      <c r="J40" s="12"/>
      <c r="K40" s="12"/>
    </row>
    <row r="41" spans="1:11" x14ac:dyDescent="0.25">
      <c r="A41" s="12"/>
      <c r="B41" s="12"/>
      <c r="C41" s="12"/>
      <c r="D41" s="12"/>
      <c r="E41" s="12"/>
      <c r="F41" s="12"/>
      <c r="G41" s="12"/>
      <c r="H41" s="11" t="str">
        <f t="shared" si="1"/>
        <v/>
      </c>
      <c r="I41" s="12"/>
      <c r="J41" s="12"/>
      <c r="K41" s="12"/>
    </row>
    <row r="42" spans="1:11" x14ac:dyDescent="0.25">
      <c r="A42" s="12"/>
      <c r="B42" s="12"/>
      <c r="C42" s="12"/>
      <c r="D42" s="12"/>
      <c r="E42" s="12"/>
      <c r="F42" s="12"/>
      <c r="G42" s="12"/>
      <c r="H42" s="11" t="str">
        <f t="shared" si="1"/>
        <v/>
      </c>
      <c r="I42" s="12"/>
      <c r="J42" s="12"/>
      <c r="K42" s="12"/>
    </row>
    <row r="43" spans="1:11" x14ac:dyDescent="0.25">
      <c r="A43" s="12"/>
      <c r="B43" s="12"/>
      <c r="C43" s="12"/>
      <c r="D43" s="12"/>
      <c r="E43" s="12"/>
      <c r="F43" s="12"/>
      <c r="G43" s="12"/>
      <c r="H43" s="11" t="str">
        <f t="shared" si="1"/>
        <v/>
      </c>
      <c r="I43" s="12"/>
      <c r="J43" s="12"/>
      <c r="K43" s="12"/>
    </row>
    <row r="44" spans="1:11" x14ac:dyDescent="0.25">
      <c r="A44" s="12"/>
      <c r="B44" s="12"/>
      <c r="C44" s="12"/>
      <c r="D44" s="12"/>
      <c r="E44" s="12"/>
      <c r="F44" s="12"/>
      <c r="G44" s="12"/>
      <c r="H44" s="11" t="str">
        <f t="shared" si="1"/>
        <v/>
      </c>
      <c r="I44" s="12"/>
      <c r="J44" s="12"/>
      <c r="K44" s="12"/>
    </row>
    <row r="45" spans="1:11" x14ac:dyDescent="0.25">
      <c r="A45" s="12"/>
      <c r="B45" s="12"/>
      <c r="C45" s="12"/>
      <c r="D45" s="12"/>
      <c r="E45" s="12"/>
      <c r="F45" s="12"/>
      <c r="G45" s="12"/>
      <c r="H45" s="11" t="str">
        <f t="shared" si="1"/>
        <v/>
      </c>
      <c r="I45" s="12"/>
      <c r="J45" s="12"/>
      <c r="K45" s="12"/>
    </row>
    <row r="46" spans="1:11" x14ac:dyDescent="0.25">
      <c r="A46" s="12"/>
      <c r="B46" s="12"/>
      <c r="C46" s="12"/>
      <c r="D46" s="12"/>
      <c r="E46" s="12"/>
      <c r="F46" s="12"/>
      <c r="G46" s="12"/>
      <c r="H46" s="11" t="str">
        <f t="shared" si="1"/>
        <v/>
      </c>
      <c r="I46" s="12"/>
      <c r="J46" s="12"/>
      <c r="K46" s="12"/>
    </row>
    <row r="47" spans="1:11" x14ac:dyDescent="0.25">
      <c r="A47" s="12"/>
      <c r="B47" s="12"/>
      <c r="C47" s="12"/>
      <c r="D47" s="12"/>
      <c r="E47" s="12"/>
      <c r="F47" s="12"/>
      <c r="G47" s="12"/>
      <c r="H47" s="11" t="str">
        <f t="shared" si="1"/>
        <v/>
      </c>
      <c r="I47" s="12"/>
      <c r="J47" s="12"/>
      <c r="K47" s="12"/>
    </row>
    <row r="48" spans="1:11" x14ac:dyDescent="0.25">
      <c r="A48" s="12"/>
      <c r="B48" s="12"/>
      <c r="C48" s="12"/>
      <c r="D48" s="12"/>
      <c r="E48" s="12"/>
      <c r="F48" s="12"/>
      <c r="G48" s="12"/>
      <c r="H48" s="11" t="str">
        <f t="shared" si="1"/>
        <v/>
      </c>
      <c r="I48" s="12"/>
      <c r="J48" s="12"/>
      <c r="K48" s="12"/>
    </row>
    <row r="49" spans="1:11" x14ac:dyDescent="0.25">
      <c r="A49" s="12"/>
      <c r="B49" s="12"/>
      <c r="C49" s="12"/>
      <c r="D49" s="12"/>
      <c r="E49" s="12"/>
      <c r="F49" s="12"/>
      <c r="G49" s="12"/>
      <c r="H49" s="11" t="str">
        <f t="shared" si="1"/>
        <v/>
      </c>
      <c r="I49" s="12"/>
      <c r="J49" s="12"/>
      <c r="K49" s="12"/>
    </row>
    <row r="50" spans="1:11" x14ac:dyDescent="0.25">
      <c r="A50" s="12"/>
      <c r="B50" s="12"/>
      <c r="C50" s="12"/>
      <c r="D50" s="12"/>
      <c r="E50" s="12"/>
      <c r="F50" s="12"/>
      <c r="G50" s="12"/>
      <c r="H50" s="11" t="str">
        <f t="shared" si="1"/>
        <v/>
      </c>
      <c r="I50" s="12"/>
      <c r="J50" s="12"/>
      <c r="K50" s="12"/>
    </row>
    <row r="51" spans="1:11" x14ac:dyDescent="0.25">
      <c r="A51" s="12"/>
      <c r="B51" s="12"/>
      <c r="C51" s="12"/>
      <c r="D51" s="12"/>
      <c r="E51" s="12"/>
      <c r="F51" s="12"/>
      <c r="G51" s="12"/>
      <c r="H51" s="11" t="str">
        <f t="shared" si="1"/>
        <v/>
      </c>
      <c r="I51" s="12"/>
      <c r="J51" s="12"/>
      <c r="K51" s="12"/>
    </row>
    <row r="52" spans="1:11" x14ac:dyDescent="0.25">
      <c r="A52" s="12"/>
      <c r="B52" s="12"/>
      <c r="C52" s="12"/>
      <c r="D52" s="12"/>
      <c r="E52" s="12"/>
      <c r="F52" s="12"/>
      <c r="G52" s="12"/>
      <c r="H52" s="11" t="str">
        <f t="shared" si="1"/>
        <v/>
      </c>
      <c r="I52" s="12"/>
      <c r="J52" s="12"/>
      <c r="K52" s="12"/>
    </row>
    <row r="53" spans="1:11" x14ac:dyDescent="0.25">
      <c r="A53" s="12"/>
      <c r="B53" s="12"/>
      <c r="C53" s="12"/>
      <c r="D53" s="12"/>
      <c r="E53" s="12"/>
      <c r="F53" s="12"/>
      <c r="G53" s="12"/>
      <c r="H53" s="11" t="str">
        <f t="shared" si="1"/>
        <v/>
      </c>
      <c r="I53" s="12"/>
      <c r="J53" s="12"/>
      <c r="K53" s="12"/>
    </row>
    <row r="54" spans="1:11" x14ac:dyDescent="0.25">
      <c r="A54" s="12"/>
      <c r="B54" s="12"/>
      <c r="C54" s="12"/>
      <c r="D54" s="12"/>
      <c r="E54" s="12"/>
      <c r="F54" s="12"/>
      <c r="G54" s="12"/>
      <c r="H54" s="11" t="str">
        <f t="shared" si="1"/>
        <v/>
      </c>
      <c r="I54" s="12"/>
      <c r="J54" s="12"/>
      <c r="K54" s="12"/>
    </row>
    <row r="55" spans="1:11" x14ac:dyDescent="0.25">
      <c r="A55" s="12"/>
      <c r="B55" s="12"/>
      <c r="C55" s="12"/>
      <c r="D55" s="12"/>
      <c r="E55" s="12"/>
      <c r="F55" s="12"/>
      <c r="G55" s="12"/>
      <c r="H55" s="11" t="str">
        <f t="shared" si="1"/>
        <v/>
      </c>
      <c r="I55" s="12"/>
      <c r="J55" s="12"/>
      <c r="K55" s="12"/>
    </row>
    <row r="56" spans="1:11" x14ac:dyDescent="0.25">
      <c r="A56" s="12"/>
      <c r="B56" s="12"/>
      <c r="C56" s="12"/>
      <c r="D56" s="12"/>
      <c r="E56" s="12"/>
      <c r="F56" s="12"/>
      <c r="G56" s="12"/>
      <c r="H56" s="11" t="str">
        <f t="shared" si="1"/>
        <v/>
      </c>
      <c r="I56" s="12"/>
      <c r="J56" s="12"/>
      <c r="K56" s="12"/>
    </row>
    <row r="57" spans="1:11" x14ac:dyDescent="0.25">
      <c r="A57" s="12"/>
      <c r="B57" s="12"/>
      <c r="C57" s="12"/>
      <c r="D57" s="12"/>
      <c r="E57" s="12"/>
      <c r="F57" s="12"/>
      <c r="G57" s="12"/>
      <c r="H57" s="11" t="str">
        <f t="shared" si="1"/>
        <v/>
      </c>
      <c r="I57" s="12"/>
      <c r="J57" s="12"/>
      <c r="K57" s="12"/>
    </row>
    <row r="58" spans="1:11" x14ac:dyDescent="0.25">
      <c r="A58" s="12"/>
      <c r="B58" s="12"/>
      <c r="C58" s="12"/>
      <c r="D58" s="12"/>
      <c r="E58" s="12"/>
      <c r="F58" s="12"/>
      <c r="G58" s="12"/>
      <c r="H58" s="11" t="str">
        <f t="shared" si="1"/>
        <v/>
      </c>
      <c r="I58" s="12"/>
      <c r="J58" s="12"/>
      <c r="K58" s="12"/>
    </row>
    <row r="59" spans="1:11" x14ac:dyDescent="0.25">
      <c r="A59" s="12"/>
      <c r="B59" s="12"/>
      <c r="C59" s="12"/>
      <c r="D59" s="12"/>
      <c r="E59" s="12"/>
      <c r="F59" s="12"/>
      <c r="G59" s="12"/>
      <c r="H59" s="11" t="str">
        <f t="shared" si="1"/>
        <v/>
      </c>
      <c r="I59" s="12"/>
      <c r="J59" s="12"/>
      <c r="K59" s="12"/>
    </row>
    <row r="60" spans="1:11" x14ac:dyDescent="0.25">
      <c r="A60" s="12"/>
      <c r="B60" s="12"/>
      <c r="C60" s="12"/>
      <c r="D60" s="12"/>
      <c r="E60" s="12"/>
      <c r="F60" s="12"/>
      <c r="G60" s="12"/>
      <c r="H60" s="11" t="str">
        <f t="shared" si="1"/>
        <v/>
      </c>
      <c r="I60" s="12"/>
      <c r="J60" s="12"/>
      <c r="K60" s="12"/>
    </row>
    <row r="61" spans="1:11" x14ac:dyDescent="0.25">
      <c r="A61" s="12"/>
      <c r="B61" s="12"/>
      <c r="C61" s="12"/>
      <c r="D61" s="12"/>
      <c r="E61" s="12"/>
      <c r="F61" s="12"/>
      <c r="G61" s="12"/>
      <c r="H61" s="11" t="str">
        <f t="shared" si="1"/>
        <v/>
      </c>
      <c r="I61" s="12"/>
      <c r="J61" s="12"/>
      <c r="K61" s="12"/>
    </row>
    <row r="62" spans="1:11" x14ac:dyDescent="0.25">
      <c r="A62" s="12"/>
      <c r="B62" s="12"/>
      <c r="C62" s="12"/>
      <c r="D62" s="12"/>
      <c r="E62" s="12"/>
      <c r="F62" s="12"/>
      <c r="G62" s="12"/>
      <c r="H62" s="11" t="str">
        <f t="shared" si="1"/>
        <v/>
      </c>
      <c r="I62" s="12"/>
      <c r="J62" s="12"/>
      <c r="K62" s="12"/>
    </row>
    <row r="63" spans="1:11" x14ac:dyDescent="0.25">
      <c r="A63" s="12"/>
      <c r="B63" s="12"/>
      <c r="C63" s="12"/>
      <c r="D63" s="12"/>
      <c r="E63" s="12"/>
      <c r="F63" s="12"/>
      <c r="G63" s="12"/>
      <c r="H63" s="11" t="str">
        <f t="shared" si="1"/>
        <v/>
      </c>
      <c r="I63" s="12"/>
      <c r="J63" s="12"/>
      <c r="K63" s="12"/>
    </row>
    <row r="64" spans="1:11" x14ac:dyDescent="0.25">
      <c r="A64" s="12"/>
      <c r="B64" s="12"/>
      <c r="C64" s="12"/>
      <c r="D64" s="12"/>
      <c r="E64" s="12"/>
      <c r="F64" s="12"/>
      <c r="G64" s="12"/>
      <c r="H64" s="11" t="str">
        <f t="shared" si="1"/>
        <v/>
      </c>
      <c r="I64" s="12"/>
      <c r="J64" s="12"/>
      <c r="K64" s="12"/>
    </row>
    <row r="65" spans="1:11" x14ac:dyDescent="0.25">
      <c r="A65" s="12"/>
      <c r="B65" s="12"/>
      <c r="C65" s="12"/>
      <c r="D65" s="12"/>
      <c r="E65" s="12"/>
      <c r="F65" s="12"/>
      <c r="G65" s="12"/>
      <c r="H65" s="11" t="str">
        <f t="shared" si="1"/>
        <v/>
      </c>
      <c r="I65" s="12"/>
      <c r="J65" s="12"/>
      <c r="K65" s="12"/>
    </row>
    <row r="66" spans="1:11" x14ac:dyDescent="0.25">
      <c r="A66" s="12"/>
      <c r="B66" s="12"/>
      <c r="C66" s="12"/>
      <c r="D66" s="12"/>
      <c r="E66" s="12"/>
      <c r="F66" s="12"/>
      <c r="G66" s="12"/>
      <c r="H66" s="11" t="str">
        <f t="shared" si="1"/>
        <v/>
      </c>
      <c r="I66" s="12"/>
      <c r="J66" s="12"/>
      <c r="K66" s="12"/>
    </row>
    <row r="67" spans="1:11" x14ac:dyDescent="0.25">
      <c r="A67" s="12"/>
      <c r="B67" s="12"/>
      <c r="C67" s="12"/>
      <c r="D67" s="12"/>
      <c r="E67" s="12"/>
      <c r="F67" s="12"/>
      <c r="G67" s="12"/>
      <c r="H67" s="11" t="str">
        <f t="shared" ref="H67:H98" si="2">IF(A67="","",IF(OR(G67="Передан",G67="Не требуется"),"OK",IF(G67="","","Не передан")))</f>
        <v/>
      </c>
      <c r="I67" s="12"/>
      <c r="J67" s="12"/>
      <c r="K67" s="12"/>
    </row>
    <row r="68" spans="1:11" x14ac:dyDescent="0.25">
      <c r="A68" s="12"/>
      <c r="B68" s="12"/>
      <c r="C68" s="12"/>
      <c r="D68" s="12"/>
      <c r="E68" s="12"/>
      <c r="F68" s="12"/>
      <c r="G68" s="12"/>
      <c r="H68" s="11" t="str">
        <f t="shared" si="2"/>
        <v/>
      </c>
      <c r="I68" s="12"/>
      <c r="J68" s="12"/>
      <c r="K68" s="12"/>
    </row>
    <row r="69" spans="1:11" x14ac:dyDescent="0.25">
      <c r="A69" s="12"/>
      <c r="B69" s="12"/>
      <c r="C69" s="12"/>
      <c r="D69" s="12"/>
      <c r="E69" s="12"/>
      <c r="F69" s="12"/>
      <c r="G69" s="12"/>
      <c r="H69" s="11" t="str">
        <f t="shared" si="2"/>
        <v/>
      </c>
      <c r="I69" s="12"/>
      <c r="J69" s="12"/>
      <c r="K69" s="12"/>
    </row>
    <row r="70" spans="1:11" x14ac:dyDescent="0.25">
      <c r="A70" s="12"/>
      <c r="B70" s="12"/>
      <c r="C70" s="12"/>
      <c r="D70" s="12"/>
      <c r="E70" s="12"/>
      <c r="F70" s="12"/>
      <c r="G70" s="12"/>
      <c r="H70" s="11" t="str">
        <f t="shared" si="2"/>
        <v/>
      </c>
      <c r="I70" s="12"/>
      <c r="J70" s="12"/>
      <c r="K70" s="12"/>
    </row>
    <row r="71" spans="1:11" x14ac:dyDescent="0.25">
      <c r="A71" s="12"/>
      <c r="B71" s="12"/>
      <c r="C71" s="12"/>
      <c r="D71" s="12"/>
      <c r="E71" s="12"/>
      <c r="F71" s="12"/>
      <c r="G71" s="12"/>
      <c r="H71" s="11" t="str">
        <f t="shared" si="2"/>
        <v/>
      </c>
      <c r="I71" s="12"/>
      <c r="J71" s="12"/>
      <c r="K71" s="12"/>
    </row>
    <row r="72" spans="1:11" x14ac:dyDescent="0.25">
      <c r="A72" s="12"/>
      <c r="B72" s="12"/>
      <c r="C72" s="12"/>
      <c r="D72" s="12"/>
      <c r="E72" s="12"/>
      <c r="F72" s="12"/>
      <c r="G72" s="12"/>
      <c r="H72" s="11" t="str">
        <f t="shared" si="2"/>
        <v/>
      </c>
      <c r="I72" s="12"/>
      <c r="J72" s="12"/>
      <c r="K72" s="12"/>
    </row>
    <row r="73" spans="1:11" x14ac:dyDescent="0.25">
      <c r="A73" s="12"/>
      <c r="B73" s="12"/>
      <c r="C73" s="12"/>
      <c r="D73" s="12"/>
      <c r="E73" s="12"/>
      <c r="F73" s="12"/>
      <c r="G73" s="12"/>
      <c r="H73" s="11" t="str">
        <f t="shared" si="2"/>
        <v/>
      </c>
      <c r="I73" s="12"/>
      <c r="J73" s="12"/>
      <c r="K73" s="12"/>
    </row>
    <row r="74" spans="1:11" x14ac:dyDescent="0.25">
      <c r="A74" s="12"/>
      <c r="B74" s="12"/>
      <c r="C74" s="12"/>
      <c r="D74" s="12"/>
      <c r="E74" s="12"/>
      <c r="F74" s="12"/>
      <c r="G74" s="12"/>
      <c r="H74" s="11" t="str">
        <f t="shared" si="2"/>
        <v/>
      </c>
      <c r="I74" s="12"/>
      <c r="J74" s="12"/>
      <c r="K74" s="12"/>
    </row>
    <row r="75" spans="1:11" x14ac:dyDescent="0.25">
      <c r="A75" s="12"/>
      <c r="B75" s="12"/>
      <c r="C75" s="12"/>
      <c r="D75" s="12"/>
      <c r="E75" s="12"/>
      <c r="F75" s="12"/>
      <c r="G75" s="12"/>
      <c r="H75" s="11" t="str">
        <f t="shared" si="2"/>
        <v/>
      </c>
      <c r="I75" s="12"/>
      <c r="J75" s="12"/>
      <c r="K75" s="12"/>
    </row>
    <row r="76" spans="1:11" x14ac:dyDescent="0.25">
      <c r="A76" s="12"/>
      <c r="B76" s="12"/>
      <c r="C76" s="12"/>
      <c r="D76" s="12"/>
      <c r="E76" s="12"/>
      <c r="F76" s="12"/>
      <c r="G76" s="12"/>
      <c r="H76" s="11" t="str">
        <f t="shared" si="2"/>
        <v/>
      </c>
      <c r="I76" s="12"/>
      <c r="J76" s="12"/>
      <c r="K76" s="12"/>
    </row>
    <row r="77" spans="1:11" x14ac:dyDescent="0.25">
      <c r="A77" s="12"/>
      <c r="B77" s="12"/>
      <c r="C77" s="12"/>
      <c r="D77" s="12"/>
      <c r="E77" s="12"/>
      <c r="F77" s="12"/>
      <c r="G77" s="12"/>
      <c r="H77" s="11" t="str">
        <f t="shared" si="2"/>
        <v/>
      </c>
      <c r="I77" s="12"/>
      <c r="J77" s="12"/>
      <c r="K77" s="12"/>
    </row>
    <row r="78" spans="1:11" x14ac:dyDescent="0.25">
      <c r="A78" s="12"/>
      <c r="B78" s="12"/>
      <c r="C78" s="12"/>
      <c r="D78" s="12"/>
      <c r="E78" s="12"/>
      <c r="F78" s="12"/>
      <c r="G78" s="12"/>
      <c r="H78" s="11" t="str">
        <f t="shared" si="2"/>
        <v/>
      </c>
      <c r="I78" s="12"/>
      <c r="J78" s="12"/>
      <c r="K78" s="12"/>
    </row>
    <row r="79" spans="1:11" x14ac:dyDescent="0.25">
      <c r="A79" s="12"/>
      <c r="B79" s="12"/>
      <c r="C79" s="12"/>
      <c r="D79" s="12"/>
      <c r="E79" s="12"/>
      <c r="F79" s="12"/>
      <c r="G79" s="12"/>
      <c r="H79" s="11" t="str">
        <f t="shared" si="2"/>
        <v/>
      </c>
      <c r="I79" s="12"/>
      <c r="J79" s="12"/>
      <c r="K79" s="12"/>
    </row>
    <row r="80" spans="1:11" x14ac:dyDescent="0.25">
      <c r="A80" s="12"/>
      <c r="B80" s="12"/>
      <c r="C80" s="12"/>
      <c r="D80" s="12"/>
      <c r="E80" s="12"/>
      <c r="F80" s="12"/>
      <c r="G80" s="12"/>
      <c r="H80" s="11" t="str">
        <f t="shared" si="2"/>
        <v/>
      </c>
      <c r="I80" s="12"/>
      <c r="J80" s="12"/>
      <c r="K80" s="12"/>
    </row>
    <row r="81" spans="1:11" x14ac:dyDescent="0.25">
      <c r="A81" s="12"/>
      <c r="B81" s="12"/>
      <c r="C81" s="12"/>
      <c r="D81" s="12"/>
      <c r="E81" s="12"/>
      <c r="F81" s="12"/>
      <c r="G81" s="12"/>
      <c r="H81" s="11" t="str">
        <f t="shared" si="2"/>
        <v/>
      </c>
      <c r="I81" s="12"/>
      <c r="J81" s="12"/>
      <c r="K81" s="12"/>
    </row>
    <row r="82" spans="1:11" x14ac:dyDescent="0.25">
      <c r="A82" s="12"/>
      <c r="B82" s="12"/>
      <c r="C82" s="12"/>
      <c r="D82" s="12"/>
      <c r="E82" s="12"/>
      <c r="F82" s="12"/>
      <c r="G82" s="12"/>
      <c r="H82" s="11" t="str">
        <f t="shared" si="2"/>
        <v/>
      </c>
      <c r="I82" s="12"/>
      <c r="J82" s="12"/>
      <c r="K82" s="12"/>
    </row>
  </sheetData>
  <autoFilter ref="A2:K82" xr:uid="{00000000-0009-0000-0000-000001000000}"/>
  <conditionalFormatting sqref="H3:H82">
    <cfRule type="cellIs" dxfId="5" priority="2" operator="equal">
      <formula>"Не передан"</formula>
    </cfRule>
    <cfRule type="cellIs" dxfId="4" priority="3" operator="equal">
      <formula>"OK"</formula>
    </cfRule>
  </conditionalFormatting>
  <conditionalFormatting sqref="G3:G82">
    <cfRule type="cellIs" dxfId="3" priority="4" operator="equal">
      <formula>"Передан"</formula>
    </cfRule>
    <cfRule type="cellIs" dxfId="2" priority="5" operator="equal">
      <formula>"Не передан"</formula>
    </cfRule>
    <cfRule type="cellIs" dxfId="1" priority="6" operator="equal">
      <formula>"Готов к передаче"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error="Выберите из списка" xr:uid="{00000000-0002-0000-0100-000000000000}">
          <x14:formula1>
            <xm:f>Справочники!$A$2:$A$11</xm:f>
          </x14:formula1>
          <x14:formula2>
            <xm:f>0</xm:f>
          </x14:formula2>
          <xm:sqref>C3:C82</xm:sqref>
        </x14:dataValidation>
        <x14:dataValidation type="list" allowBlank="1" error="Выберите из списка" xr:uid="{00000000-0002-0000-0100-000001000000}">
          <x14:formula1>
            <xm:f>Справочники!$B$2:$B$7</xm:f>
          </x14:formula1>
          <x14:formula2>
            <xm:f>0</xm:f>
          </x14:formula2>
          <xm:sqref>E3:E82</xm:sqref>
        </x14:dataValidation>
        <x14:dataValidation type="list" allowBlank="1" error="Выберите из списка" xr:uid="{00000000-0002-0000-0100-000002000000}">
          <x14:formula1>
            <xm:f>Справочники!$C$2:$C$5</xm:f>
          </x14:formula1>
          <x14:formula2>
            <xm:f>0</xm:f>
          </x14:formula2>
          <xm:sqref>G3:G82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16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26" customWidth="1"/>
    <col min="3" max="3" width="14" customWidth="1"/>
    <col min="4" max="4" width="3" customWidth="1"/>
    <col min="5" max="5" width="24" customWidth="1"/>
    <col min="6" max="6" width="12" customWidth="1"/>
  </cols>
  <sheetData>
    <row r="2" spans="2:6" ht="18" x14ac:dyDescent="0.25">
      <c r="B2" s="8" t="s">
        <v>85</v>
      </c>
    </row>
    <row r="3" spans="2:6" x14ac:dyDescent="0.25">
      <c r="B3" s="2" t="s">
        <v>86</v>
      </c>
    </row>
    <row r="5" spans="2:6" ht="15.75" x14ac:dyDescent="0.25">
      <c r="B5" s="5" t="s">
        <v>87</v>
      </c>
      <c r="E5" s="5" t="s">
        <v>88</v>
      </c>
    </row>
    <row r="6" spans="2:6" x14ac:dyDescent="0.25">
      <c r="B6" s="9" t="s">
        <v>89</v>
      </c>
      <c r="C6" s="9" t="s">
        <v>90</v>
      </c>
      <c r="E6" s="9" t="s">
        <v>31</v>
      </c>
      <c r="F6" s="9" t="s">
        <v>90</v>
      </c>
    </row>
    <row r="7" spans="2:6" x14ac:dyDescent="0.25">
      <c r="B7" s="13" t="s">
        <v>45</v>
      </c>
      <c r="C7" s="14">
        <f>COUNTIF('Реестр активов'!$G$3:$G$82,"Передан")</f>
        <v>5</v>
      </c>
      <c r="E7" s="15" t="s">
        <v>41</v>
      </c>
      <c r="F7" s="16">
        <f>COUNTIF('Реестр активов'!$C$3:$C$82,"Документация")</f>
        <v>1</v>
      </c>
    </row>
    <row r="8" spans="2:6" x14ac:dyDescent="0.25">
      <c r="B8" s="17" t="s">
        <v>64</v>
      </c>
      <c r="C8" s="14">
        <f>COUNTIF('Реестр активов'!$G$3:$G$82,"Готов к передаче")</f>
        <v>1</v>
      </c>
      <c r="E8" s="15" t="s">
        <v>49</v>
      </c>
      <c r="F8" s="16">
        <f>COUNTIF('Реестр активов'!$C$3:$C$82,"Конфигурация/код")</f>
        <v>1</v>
      </c>
    </row>
    <row r="9" spans="2:6" x14ac:dyDescent="0.25">
      <c r="B9" s="18" t="s">
        <v>83</v>
      </c>
      <c r="C9" s="14">
        <f>COUNTIF('Реестр активов'!$G$3:$G$82,"Не передан")</f>
        <v>1</v>
      </c>
      <c r="E9" s="15" t="s">
        <v>55</v>
      </c>
      <c r="F9" s="16">
        <f>COUNTIF('Реестр активов'!$C$3:$C$82,"Доработки/расширения")</f>
        <v>1</v>
      </c>
    </row>
    <row r="10" spans="2:6" x14ac:dyDescent="0.25">
      <c r="B10" s="19" t="s">
        <v>91</v>
      </c>
      <c r="C10" s="14">
        <f>COUNTIF('Реестр активов'!$G$3:$G$82,"Не требуется")</f>
        <v>0</v>
      </c>
      <c r="E10" s="15" t="s">
        <v>92</v>
      </c>
      <c r="F10" s="16">
        <f>COUNTIF('Реестр активов'!$C$3:$C$82,"База данных")</f>
        <v>0</v>
      </c>
    </row>
    <row r="11" spans="2:6" x14ac:dyDescent="0.25">
      <c r="B11" s="20" t="s">
        <v>93</v>
      </c>
      <c r="C11" s="21">
        <f>COUNTA('Реестр активов'!$A$3:$A$82)</f>
        <v>7</v>
      </c>
      <c r="E11" s="15" t="s">
        <v>60</v>
      </c>
      <c r="F11" s="16">
        <f>COUNTIF('Реестр активов'!$C$3:$C$82,"Доступы/учётные записи")</f>
        <v>1</v>
      </c>
    </row>
    <row r="12" spans="2:6" x14ac:dyDescent="0.25">
      <c r="B12" s="20" t="s">
        <v>94</v>
      </c>
      <c r="C12" s="14">
        <f>COUNTIF('Реестр активов'!$H$3:$H$82,"Не передан")</f>
        <v>2</v>
      </c>
      <c r="E12" s="15" t="s">
        <v>79</v>
      </c>
      <c r="F12" s="16">
        <f>COUNTIF('Реестр активов'!$C$3:$C$82,"Лицензии")</f>
        <v>1</v>
      </c>
    </row>
    <row r="13" spans="2:6" x14ac:dyDescent="0.25">
      <c r="B13" s="20" t="s">
        <v>95</v>
      </c>
      <c r="C13" s="22">
        <f>IFERROR(COUNTIF('Реестр активов'!$G$3:$G$82,"Передан")/COUNTA('Реестр активов'!$A$3:$A$82),0)</f>
        <v>0.7142857142857143</v>
      </c>
      <c r="E13" s="15" t="s">
        <v>69</v>
      </c>
      <c r="F13" s="16">
        <f>COUNTIF('Реестр активов'!$C$3:$C$82,"Результаты миграции")</f>
        <v>1</v>
      </c>
    </row>
    <row r="14" spans="2:6" x14ac:dyDescent="0.25">
      <c r="E14" s="15" t="s">
        <v>75</v>
      </c>
      <c r="F14" s="16">
        <f>COUNTIF('Реестр активов'!$C$3:$C$82,"Учебные материалы")</f>
        <v>1</v>
      </c>
    </row>
    <row r="15" spans="2:6" x14ac:dyDescent="0.25">
      <c r="E15" s="15" t="s">
        <v>96</v>
      </c>
      <c r="F15" s="16">
        <f>COUNTIF('Реестр активов'!$C$3:$C$82,"Исходные материалы")</f>
        <v>0</v>
      </c>
    </row>
    <row r="16" spans="2:6" x14ac:dyDescent="0.25">
      <c r="E16" s="15" t="s">
        <v>97</v>
      </c>
      <c r="F16" s="16">
        <f>COUNTIF('Реестр активов'!$C$3:$C$82,"Прочее")</f>
        <v>0</v>
      </c>
    </row>
  </sheetData>
  <conditionalFormatting sqref="C12">
    <cfRule type="cellIs" dxfId="0" priority="2" operator="greater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showGridLines="0" zoomScaleNormal="100" workbookViewId="0"/>
  </sheetViews>
  <sheetFormatPr defaultColWidth="8.7109375" defaultRowHeight="15" x14ac:dyDescent="0.25"/>
  <cols>
    <col min="1" max="1" width="22" customWidth="1"/>
    <col min="2" max="3" width="24" customWidth="1"/>
  </cols>
  <sheetData>
    <row r="1" spans="1:3" x14ac:dyDescent="0.25">
      <c r="A1" s="9" t="s">
        <v>98</v>
      </c>
      <c r="B1" s="9" t="s">
        <v>33</v>
      </c>
      <c r="C1" s="9" t="s">
        <v>35</v>
      </c>
    </row>
    <row r="2" spans="1:3" x14ac:dyDescent="0.25">
      <c r="A2" s="15" t="s">
        <v>41</v>
      </c>
      <c r="B2" s="15" t="s">
        <v>43</v>
      </c>
      <c r="C2" s="15" t="s">
        <v>45</v>
      </c>
    </row>
    <row r="3" spans="1:3" x14ac:dyDescent="0.25">
      <c r="A3" s="15" t="s">
        <v>49</v>
      </c>
      <c r="B3" s="15" t="s">
        <v>99</v>
      </c>
      <c r="C3" s="15" t="s">
        <v>64</v>
      </c>
    </row>
    <row r="4" spans="1:3" x14ac:dyDescent="0.25">
      <c r="A4" s="15" t="s">
        <v>55</v>
      </c>
      <c r="B4" s="15" t="s">
        <v>100</v>
      </c>
      <c r="C4" s="15" t="s">
        <v>83</v>
      </c>
    </row>
    <row r="5" spans="1:3" x14ac:dyDescent="0.25">
      <c r="A5" s="15" t="s">
        <v>92</v>
      </c>
      <c r="B5" s="15" t="s">
        <v>71</v>
      </c>
      <c r="C5" s="15" t="s">
        <v>91</v>
      </c>
    </row>
    <row r="6" spans="1:3" x14ac:dyDescent="0.25">
      <c r="A6" s="15" t="s">
        <v>60</v>
      </c>
      <c r="B6" s="15" t="s">
        <v>62</v>
      </c>
    </row>
    <row r="7" spans="1:3" x14ac:dyDescent="0.25">
      <c r="A7" s="15" t="s">
        <v>79</v>
      </c>
      <c r="B7" s="15" t="s">
        <v>81</v>
      </c>
    </row>
    <row r="8" spans="1:3" x14ac:dyDescent="0.25">
      <c r="A8" s="15" t="s">
        <v>69</v>
      </c>
    </row>
    <row r="9" spans="1:3" x14ac:dyDescent="0.25">
      <c r="A9" s="15" t="s">
        <v>75</v>
      </c>
    </row>
    <row r="10" spans="1:3" x14ac:dyDescent="0.25">
      <c r="A10" s="15" t="s">
        <v>96</v>
      </c>
    </row>
    <row r="11" spans="1:3" x14ac:dyDescent="0.25">
      <c r="A11" s="15" t="s">
        <v>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showGridLines="0" zoomScaleNormal="100" workbookViewId="0"/>
  </sheetViews>
  <sheetFormatPr defaultColWidth="8.7109375" defaultRowHeight="15" x14ac:dyDescent="0.25"/>
  <cols>
    <col min="1" max="1" width="12" customWidth="1"/>
    <col min="2" max="2" width="16" customWidth="1"/>
    <col min="3" max="3" width="70" customWidth="1"/>
    <col min="4" max="4" width="24" customWidth="1"/>
  </cols>
  <sheetData>
    <row r="1" spans="1:4" ht="16.5" x14ac:dyDescent="0.25">
      <c r="A1" s="23" t="s">
        <v>101</v>
      </c>
    </row>
    <row r="2" spans="1:4" x14ac:dyDescent="0.25">
      <c r="A2" s="9" t="s">
        <v>102</v>
      </c>
      <c r="B2" s="9" t="s">
        <v>103</v>
      </c>
      <c r="C2" s="9" t="s">
        <v>104</v>
      </c>
      <c r="D2" s="9" t="s">
        <v>105</v>
      </c>
    </row>
    <row r="3" spans="1:4" x14ac:dyDescent="0.25">
      <c r="A3" s="24" t="s">
        <v>106</v>
      </c>
      <c r="B3" s="24" t="s">
        <v>107</v>
      </c>
      <c r="C3" s="24" t="s">
        <v>108</v>
      </c>
      <c r="D3" s="24" t="s">
        <v>109</v>
      </c>
    </row>
    <row r="4" spans="1:4" x14ac:dyDescent="0.25">
      <c r="A4" s="25"/>
      <c r="B4" s="25"/>
      <c r="C4" s="25"/>
      <c r="D4" s="25"/>
    </row>
    <row r="5" spans="1:4" x14ac:dyDescent="0.25">
      <c r="A5" s="25"/>
      <c r="B5" s="25"/>
      <c r="C5" s="25"/>
      <c r="D5" s="25"/>
    </row>
    <row r="6" spans="1:4" x14ac:dyDescent="0.25">
      <c r="A6" s="25"/>
      <c r="B6" s="25"/>
      <c r="C6" s="25"/>
      <c r="D6" s="25"/>
    </row>
    <row r="7" spans="1:4" x14ac:dyDescent="0.25">
      <c r="A7" s="25"/>
      <c r="B7" s="25"/>
      <c r="C7" s="25"/>
      <c r="D7" s="25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Инструкция</vt:lpstr>
      <vt:lpstr>Реестр активов</vt:lpstr>
      <vt:lpstr>Сводка</vt:lpstr>
      <vt:lpstr>Справочники</vt:lpstr>
      <vt:lpstr>Журнал изменений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Халилов Руслан Энверович, руководитель проектов, PMP (PMI)</dc:creator>
  <dc:description/>
  <cp:lastModifiedBy>Руслан Халилов</cp:lastModifiedBy>
  <cp:revision>0</cp:revision>
  <dcterms:created xsi:type="dcterms:W3CDTF">2026-06-22T07:24:13Z</dcterms:created>
  <dcterms:modified xsi:type="dcterms:W3CDTF">2026-06-22T09:31:36Z</dcterms:modified>
  <dc:language>en-US</dc:language>
</cp:coreProperties>
</file>