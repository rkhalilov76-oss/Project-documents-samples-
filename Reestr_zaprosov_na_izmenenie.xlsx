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678B6C16-0FCD-4BF3-AEB1-6C6A96C551D5}" xr6:coauthVersionLast="47" xr6:coauthVersionMax="47" xr10:uidLastSave="{00000000-0000-0000-0000-000000000000}"/>
  <bookViews>
    <workbookView xWindow="4035" yWindow="2535" windowWidth="25860" windowHeight="16530" tabRatio="500" xr2:uid="{00000000-000D-0000-FFFF-FFFF00000000}"/>
  </bookViews>
  <sheets>
    <sheet name="Инструкция" sheetId="1" r:id="rId1"/>
    <sheet name="Реестр CR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CR'!$A$2:$S$152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C14" i="3"/>
  <c r="C13" i="3"/>
  <c r="C12" i="3"/>
  <c r="C11" i="3"/>
  <c r="F10" i="3"/>
  <c r="C10" i="3"/>
  <c r="F9" i="3"/>
  <c r="C9" i="3"/>
  <c r="F8" i="3"/>
  <c r="C8" i="3"/>
  <c r="F7" i="3"/>
  <c r="C7" i="3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</calcChain>
</file>

<file path=xl/sharedStrings.xml><?xml version="1.0" encoding="utf-8"?>
<sst xmlns="http://schemas.openxmlformats.org/spreadsheetml/2006/main" count="168" uniqueCount="117">
  <si>
    <t>РЕЕСТР ЗАПРОСОВ НА ИЗМЕНЕНИЕ</t>
  </si>
  <si>
    <t>Change Request Log — ведётся по Плану управления изменениями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</si>
  <si>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</si>
  <si>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</si>
  <si>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</si>
  <si>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</si>
  <si>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</si>
  <si>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</si>
  <si>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</si>
  <si>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</si>
  <si>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</si>
  <si>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</si>
  <si>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</si>
  <si>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Единый журнал учёта запросов на изменение (CR). Фиксирует весь жизненный цикл изменения: от подачи до закрытия, с оценкой влияния и решением уполномоченного органа. Связан с Планом управления изменениями (процедура и матрица полномочий) и RTM (влияние на требования).</t>
  </si>
  <si>
    <t>Состав листов</t>
  </si>
  <si>
    <t>Реестр CR</t>
  </si>
  <si>
    <t>Основной журнал. Одна строка — один запрос на изменение.</t>
  </si>
  <si>
    <t>Сводка</t>
  </si>
  <si>
    <t>Автоматическая аналитика по статусам, категориям, решениям.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</si>
  <si>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</si>
  <si>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</si>
  <si>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</si>
  <si>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</si>
  <si>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</si>
  <si>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ID присваивается при регистрации (CR-NNN). Категория определяет маршрут утверждения (см. План управления изменениями).</t>
  </si>
  <si>
    <t>•  Оценка влияния по срокам/бюджету заполняется до рассмотрения; решение — после.</t>
  </si>
  <si>
    <t>•  Связанные требования (REQ ID) указывайте для трассировки в RTM.</t>
  </si>
  <si>
    <t>•  Статус ведите по жизненному циклу: Подан → На оценке → На рассмотрении → Утверждён/Отклонён/Отложен → Внедрён → Закрыт.</t>
  </si>
  <si>
    <t>•  Поле «Контроль срока» подсветит просроченные открытые CR (если задан срок решения).</t>
  </si>
  <si>
    <t>Конфиденциально. Решения по CR имеют последствия для бюджета и сроков — ведите дисциплинированно.</t>
  </si>
  <si>
    <t>Реестр запросов на изменение</t>
  </si>
  <si>
    <t>CR ID</t>
  </si>
  <si>
    <t>Дата подачи</t>
  </si>
  <si>
    <t>Инициатор</t>
  </si>
  <si>
    <t>Описание изменения</t>
  </si>
  <si>
    <t>Обоснование / причина</t>
  </si>
  <si>
    <t>Категория</t>
  </si>
  <si>
    <t>Область изменения</t>
  </si>
  <si>
    <t>Влияние: сроки (дн.)</t>
  </si>
  <si>
    <t>Влияние: бюджет (руб.)</t>
  </si>
  <si>
    <t>Влияние: риски/качество</t>
  </si>
  <si>
    <t>Связ. требования (REQ)</t>
  </si>
  <si>
    <t>Орган решения</t>
  </si>
  <si>
    <t>Решение</t>
  </si>
  <si>
    <t>Дата решения</t>
  </si>
  <si>
    <t>Статус</t>
  </si>
  <si>
    <t>Срок внедрения</t>
  </si>
  <si>
    <t>Контроль срока</t>
  </si>
  <si>
    <t>Ответственный</t>
  </si>
  <si>
    <t>Примечание</t>
  </si>
  <si>
    <t>CR-001</t>
  </si>
  <si>
    <t>[ФИО]</t>
  </si>
  <si>
    <t>Добавить интеграцию с системой WMS склада</t>
  </si>
  <si>
    <t>Выявлена потребность после обследования логистики</t>
  </si>
  <si>
    <t>Значительное</t>
  </si>
  <si>
    <t>Интеграции</t>
  </si>
  <si>
    <t>+15</t>
  </si>
  <si>
    <t>+[сумма]</t>
  </si>
  <si>
    <t>Риск сдвига вехи интеграций</t>
  </si>
  <si>
    <t>[REQ-…]</t>
  </si>
  <si>
    <t>Управляющий комитет</t>
  </si>
  <si>
    <t>На доработку</t>
  </si>
  <si>
    <t>На рассмотрении</t>
  </si>
  <si>
    <t>[РП]</t>
  </si>
  <si>
    <t>Ожидается оценка трудозатрат</t>
  </si>
  <si>
    <t>CR-002</t>
  </si>
  <si>
    <t>Изменить алгоритм расчёта себестоимости по требованию финслужбы</t>
  </si>
  <si>
    <t>Уточнение методики после воркшопа</t>
  </si>
  <si>
    <t>Критическое</t>
  </si>
  <si>
    <t>Требования</t>
  </si>
  <si>
    <t>+20</t>
  </si>
  <si>
    <t>Влияет на сроки фазы разработки</t>
  </si>
  <si>
    <t>[REQ-002]</t>
  </si>
  <si>
    <t>Спонсор</t>
  </si>
  <si>
    <t>Утвердить</t>
  </si>
  <si>
    <t>Утверждён</t>
  </si>
  <si>
    <t>Обновлены базовые линии</t>
  </si>
  <si>
    <t>CR-003</t>
  </si>
  <si>
    <t>Косметические правки печатной формы счёта</t>
  </si>
  <si>
    <t>Запрос пользователя</t>
  </si>
  <si>
    <t>Незначительное</t>
  </si>
  <si>
    <t>Прочее</t>
  </si>
  <si>
    <t>0</t>
  </si>
  <si>
    <t>Нет</t>
  </si>
  <si>
    <t>РП</t>
  </si>
  <si>
    <t>Внедрён</t>
  </si>
  <si>
    <t>Сводка по запросам на изменение</t>
  </si>
  <si>
    <t>Считается автоматически по листу «Реестр CR».</t>
  </si>
  <si>
    <t>По статусу</t>
  </si>
  <si>
    <t>По категории</t>
  </si>
  <si>
    <t>Кол-во</t>
  </si>
  <si>
    <t>Подан</t>
  </si>
  <si>
    <t>На оценке</t>
  </si>
  <si>
    <t>Срочное</t>
  </si>
  <si>
    <t>Отклонён</t>
  </si>
  <si>
    <t>Отложен</t>
  </si>
  <si>
    <t>Закрыт</t>
  </si>
  <si>
    <t>Всего CR</t>
  </si>
  <si>
    <t>Содержание/объём</t>
  </si>
  <si>
    <t>Сроки</t>
  </si>
  <si>
    <t>Отклонить</t>
  </si>
  <si>
    <t>Бюджет</t>
  </si>
  <si>
    <t>Отложить</t>
  </si>
  <si>
    <t>CCB</t>
  </si>
  <si>
    <t>Архитектура</t>
  </si>
  <si>
    <t>—</t>
  </si>
  <si>
    <t>НСИ</t>
  </si>
  <si>
    <t>Качество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</si>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</sst>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0" xfId="0" applyFont="1"/>
    <xf numFmtId="0" fontId="10" fillId="0" borderId="1" xfId="0" applyFont="1" applyBorder="1"/>
    <xf numFmtId="0" fontId="13" fillId="0" borderId="1" xfId="0" applyFont="1" applyBorder="1"/>
  </cellXfs>
  <cellStyles count="1">
    <cellStyle name="Обычный" xfId="0" builtinId="0"/>
  </cellStyles>
  <dxfs count="1"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abSelected="1" zoomScaleNormal="100" workbookViewId="0">
      <selection activeCell="C19" sqref="C19"/>
    </sheetView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30" customHeight="1" x14ac:dyDescent="0.25">
      <c r="C21" s="7" t="s">
        <v>24</v>
      </c>
    </row>
    <row r="22" spans="2:3" ht="30" customHeight="1" x14ac:dyDescent="0.25">
      <c r="C22" s="7" t="s">
        <v>25</v>
      </c>
    </row>
    <row r="23" spans="2:3" ht="30" customHeight="1" x14ac:dyDescent="0.25">
      <c r="C23" s="7" t="s">
        <v>26</v>
      </c>
    </row>
    <row r="24" spans="2:3" ht="30" customHeight="1" x14ac:dyDescent="0.25">
      <c r="C24" s="7" t="s">
        <v>27</v>
      </c>
    </row>
    <row r="25" spans="2:3" ht="30" customHeight="1" x14ac:dyDescent="0.25">
      <c r="C25" s="7" t="s">
        <v>28</v>
      </c>
    </row>
    <row r="27" spans="2:3" x14ac:dyDescent="0.25">
      <c r="C27" s="8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2" sqref="D32"/>
    </sheetView>
  </sheetViews>
  <sheetFormatPr defaultColWidth="8.7109375" defaultRowHeight="15" x14ac:dyDescent="0.25"/>
  <cols>
    <col min="1" max="1" width="9" customWidth="1"/>
    <col min="2" max="2" width="12" customWidth="1"/>
    <col min="3" max="3" width="18" customWidth="1"/>
    <col min="4" max="4" width="40" customWidth="1"/>
    <col min="5" max="5" width="32" customWidth="1"/>
    <col min="6" max="6" width="16" customWidth="1"/>
    <col min="7" max="7" width="18" customWidth="1"/>
    <col min="8" max="8" width="12" customWidth="1"/>
    <col min="9" max="9" width="15" customWidth="1"/>
    <col min="10" max="10" width="26" customWidth="1"/>
    <col min="11" max="12" width="16" customWidth="1"/>
    <col min="13" max="13" width="14" customWidth="1"/>
    <col min="14" max="14" width="12" customWidth="1"/>
    <col min="15" max="15" width="15" customWidth="1"/>
    <col min="16" max="17" width="13" customWidth="1"/>
    <col min="18" max="18" width="18" customWidth="1"/>
    <col min="19" max="19" width="24" customWidth="1"/>
  </cols>
  <sheetData>
    <row r="1" spans="1:19" ht="18" x14ac:dyDescent="0.25">
      <c r="A1" s="9" t="s">
        <v>30</v>
      </c>
    </row>
    <row r="2" spans="1:19" ht="39.75" customHeight="1" x14ac:dyDescent="0.25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10" t="s">
        <v>45</v>
      </c>
      <c r="P2" s="10" t="s">
        <v>46</v>
      </c>
      <c r="Q2" s="10" t="s">
        <v>47</v>
      </c>
      <c r="R2" s="10" t="s">
        <v>48</v>
      </c>
      <c r="S2" s="10" t="s">
        <v>49</v>
      </c>
    </row>
    <row r="3" spans="1:19" ht="25.5" x14ac:dyDescent="0.25">
      <c r="A3" s="11" t="s">
        <v>50</v>
      </c>
      <c r="B3" s="11" t="s">
        <v>9</v>
      </c>
      <c r="C3" s="11" t="s">
        <v>51</v>
      </c>
      <c r="D3" s="11" t="s">
        <v>52</v>
      </c>
      <c r="E3" s="11" t="s">
        <v>53</v>
      </c>
      <c r="F3" s="11" t="s">
        <v>54</v>
      </c>
      <c r="G3" s="11" t="s">
        <v>55</v>
      </c>
      <c r="H3" s="11" t="s">
        <v>56</v>
      </c>
      <c r="I3" s="11" t="s">
        <v>57</v>
      </c>
      <c r="J3" s="11" t="s">
        <v>58</v>
      </c>
      <c r="K3" s="11" t="s">
        <v>59</v>
      </c>
      <c r="L3" s="11" t="s">
        <v>60</v>
      </c>
      <c r="M3" s="11" t="s">
        <v>61</v>
      </c>
      <c r="N3" s="11" t="s">
        <v>9</v>
      </c>
      <c r="O3" s="11" t="s">
        <v>62</v>
      </c>
      <c r="P3" s="11" t="s">
        <v>9</v>
      </c>
      <c r="Q3" s="12" t="str">
        <f t="shared" ref="Q3:Q34" ca="1" si="0">IFERROR(IF(A3="","",IF(OR(O3="Закрыт",O3="Внедрён",O3="Отклонён"),"—",IF(N(P3)=0,"",IF(TODAY()&gt;P3,"Просрочен","В срок")))),"")</f>
        <v/>
      </c>
      <c r="R3" s="11" t="s">
        <v>63</v>
      </c>
      <c r="S3" s="11" t="s">
        <v>64</v>
      </c>
    </row>
    <row r="4" spans="1:19" ht="38.25" x14ac:dyDescent="0.25">
      <c r="A4" s="11" t="s">
        <v>65</v>
      </c>
      <c r="B4" s="11" t="s">
        <v>9</v>
      </c>
      <c r="C4" s="11" t="s">
        <v>51</v>
      </c>
      <c r="D4" s="11" t="s">
        <v>66</v>
      </c>
      <c r="E4" s="11" t="s">
        <v>67</v>
      </c>
      <c r="F4" s="11" t="s">
        <v>68</v>
      </c>
      <c r="G4" s="11" t="s">
        <v>69</v>
      </c>
      <c r="H4" s="11" t="s">
        <v>70</v>
      </c>
      <c r="I4" s="11" t="s">
        <v>57</v>
      </c>
      <c r="J4" s="11" t="s">
        <v>71</v>
      </c>
      <c r="K4" s="11" t="s">
        <v>72</v>
      </c>
      <c r="L4" s="11" t="s">
        <v>73</v>
      </c>
      <c r="M4" s="11" t="s">
        <v>74</v>
      </c>
      <c r="N4" s="11" t="s">
        <v>9</v>
      </c>
      <c r="O4" s="11" t="s">
        <v>75</v>
      </c>
      <c r="P4" s="11" t="s">
        <v>9</v>
      </c>
      <c r="Q4" s="12" t="str">
        <f t="shared" ca="1" si="0"/>
        <v/>
      </c>
      <c r="R4" s="11" t="s">
        <v>63</v>
      </c>
      <c r="S4" s="11" t="s">
        <v>76</v>
      </c>
    </row>
    <row r="5" spans="1:19" ht="25.5" x14ac:dyDescent="0.25">
      <c r="A5" s="11" t="s">
        <v>77</v>
      </c>
      <c r="B5" s="11" t="s">
        <v>9</v>
      </c>
      <c r="C5" s="11" t="s">
        <v>51</v>
      </c>
      <c r="D5" s="11" t="s">
        <v>78</v>
      </c>
      <c r="E5" s="11" t="s">
        <v>79</v>
      </c>
      <c r="F5" s="11" t="s">
        <v>80</v>
      </c>
      <c r="G5" s="11" t="s">
        <v>81</v>
      </c>
      <c r="H5" s="11" t="s">
        <v>82</v>
      </c>
      <c r="I5" s="11" t="s">
        <v>82</v>
      </c>
      <c r="J5" s="11" t="s">
        <v>83</v>
      </c>
      <c r="K5" s="11" t="s">
        <v>59</v>
      </c>
      <c r="L5" s="11" t="s">
        <v>84</v>
      </c>
      <c r="M5" s="11" t="s">
        <v>74</v>
      </c>
      <c r="N5" s="11" t="s">
        <v>9</v>
      </c>
      <c r="O5" s="11" t="s">
        <v>85</v>
      </c>
      <c r="P5" s="11" t="s">
        <v>9</v>
      </c>
      <c r="Q5" s="12" t="str">
        <f t="shared" ca="1" si="0"/>
        <v>—</v>
      </c>
      <c r="R5" s="11" t="s">
        <v>63</v>
      </c>
      <c r="S5" s="11"/>
    </row>
    <row r="6" spans="1:19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2" t="str">
        <f t="shared" ca="1" si="0"/>
        <v/>
      </c>
      <c r="R6" s="13"/>
      <c r="S6" s="13"/>
    </row>
    <row r="7" spans="1:19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2" t="str">
        <f t="shared" ca="1" si="0"/>
        <v/>
      </c>
      <c r="R7" s="13"/>
      <c r="S7" s="13"/>
    </row>
    <row r="8" spans="1:19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2" t="str">
        <f t="shared" ca="1" si="0"/>
        <v/>
      </c>
      <c r="R8" s="13"/>
      <c r="S8" s="13"/>
    </row>
    <row r="9" spans="1:19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2" t="str">
        <f t="shared" ca="1" si="0"/>
        <v/>
      </c>
      <c r="R9" s="13"/>
      <c r="S9" s="13"/>
    </row>
    <row r="10" spans="1:19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2" t="str">
        <f t="shared" ca="1" si="0"/>
        <v/>
      </c>
      <c r="R10" s="13"/>
      <c r="S10" s="13"/>
    </row>
    <row r="11" spans="1:19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2" t="str">
        <f t="shared" ca="1" si="0"/>
        <v/>
      </c>
      <c r="R11" s="13"/>
      <c r="S11" s="13"/>
    </row>
    <row r="12" spans="1:19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2" t="str">
        <f t="shared" ca="1" si="0"/>
        <v/>
      </c>
      <c r="R12" s="13"/>
      <c r="S12" s="13"/>
    </row>
    <row r="13" spans="1:19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2" t="str">
        <f t="shared" ca="1" si="0"/>
        <v/>
      </c>
      <c r="R13" s="13"/>
      <c r="S13" s="13"/>
    </row>
    <row r="14" spans="1:19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2" t="str">
        <f t="shared" ca="1" si="0"/>
        <v/>
      </c>
      <c r="R14" s="13"/>
      <c r="S14" s="13"/>
    </row>
    <row r="15" spans="1:19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2" t="str">
        <f t="shared" ca="1" si="0"/>
        <v/>
      </c>
      <c r="R15" s="13"/>
      <c r="S15" s="13"/>
    </row>
    <row r="16" spans="1:19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2" t="str">
        <f t="shared" ca="1" si="0"/>
        <v/>
      </c>
      <c r="R16" s="13"/>
      <c r="S16" s="13"/>
    </row>
    <row r="17" spans="1:19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2" t="str">
        <f t="shared" ca="1" si="0"/>
        <v/>
      </c>
      <c r="R17" s="13"/>
      <c r="S17" s="13"/>
    </row>
    <row r="18" spans="1:19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2" t="str">
        <f t="shared" ca="1" si="0"/>
        <v/>
      </c>
      <c r="R18" s="13"/>
      <c r="S18" s="13"/>
    </row>
    <row r="19" spans="1:19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2" t="str">
        <f t="shared" ca="1" si="0"/>
        <v/>
      </c>
      <c r="R19" s="13"/>
      <c r="S19" s="13"/>
    </row>
    <row r="20" spans="1:19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2" t="str">
        <f t="shared" ca="1" si="0"/>
        <v/>
      </c>
      <c r="R20" s="13"/>
      <c r="S20" s="13"/>
    </row>
    <row r="21" spans="1:19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2" t="str">
        <f t="shared" ca="1" si="0"/>
        <v/>
      </c>
      <c r="R21" s="13"/>
      <c r="S21" s="13"/>
    </row>
    <row r="22" spans="1:19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2" t="str">
        <f t="shared" ca="1" si="0"/>
        <v/>
      </c>
      <c r="R22" s="13"/>
      <c r="S22" s="13"/>
    </row>
    <row r="23" spans="1:19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2" t="str">
        <f t="shared" ca="1" si="0"/>
        <v/>
      </c>
      <c r="R23" s="13"/>
      <c r="S23" s="13"/>
    </row>
    <row r="24" spans="1:19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2" t="str">
        <f t="shared" ca="1" si="0"/>
        <v/>
      </c>
      <c r="R24" s="13"/>
      <c r="S24" s="13"/>
    </row>
    <row r="25" spans="1:19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2" t="str">
        <f t="shared" ca="1" si="0"/>
        <v/>
      </c>
      <c r="R25" s="13"/>
      <c r="S25" s="13"/>
    </row>
    <row r="26" spans="1:19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2" t="str">
        <f t="shared" ca="1" si="0"/>
        <v/>
      </c>
      <c r="R26" s="13"/>
      <c r="S26" s="13"/>
    </row>
    <row r="27" spans="1:19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2" t="str">
        <f t="shared" ca="1" si="0"/>
        <v/>
      </c>
      <c r="R27" s="13"/>
      <c r="S27" s="13"/>
    </row>
    <row r="28" spans="1:19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2" t="str">
        <f t="shared" ca="1" si="0"/>
        <v/>
      </c>
      <c r="R28" s="13"/>
      <c r="S28" s="13"/>
    </row>
    <row r="29" spans="1:19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2" t="str">
        <f t="shared" ca="1" si="0"/>
        <v/>
      </c>
      <c r="R29" s="13"/>
      <c r="S29" s="13"/>
    </row>
    <row r="30" spans="1:19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2" t="str">
        <f t="shared" ca="1" si="0"/>
        <v/>
      </c>
      <c r="R30" s="13"/>
      <c r="S30" s="13"/>
    </row>
    <row r="31" spans="1:19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2" t="str">
        <f t="shared" ca="1" si="0"/>
        <v/>
      </c>
      <c r="R31" s="13"/>
      <c r="S31" s="13"/>
    </row>
    <row r="32" spans="1:19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2" t="str">
        <f t="shared" ca="1" si="0"/>
        <v/>
      </c>
      <c r="R32" s="13"/>
      <c r="S32" s="13"/>
    </row>
    <row r="33" spans="1:19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2" t="str">
        <f t="shared" ca="1" si="0"/>
        <v/>
      </c>
      <c r="R33" s="13"/>
      <c r="S33" s="13"/>
    </row>
    <row r="34" spans="1:19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 t="str">
        <f t="shared" ca="1" si="0"/>
        <v/>
      </c>
      <c r="R34" s="13"/>
      <c r="S34" s="13"/>
    </row>
    <row r="35" spans="1:19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2" t="str">
        <f t="shared" ref="Q35:Q66" ca="1" si="1">IFERROR(IF(A35="","",IF(OR(O35="Закрыт",O35="Внедрён",O35="Отклонён"),"—",IF(N(P35)=0,"",IF(TODAY()&gt;P35,"Просрочен","В срок")))),"")</f>
        <v/>
      </c>
      <c r="R35" s="13"/>
      <c r="S35" s="13"/>
    </row>
    <row r="36" spans="1:19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2" t="str">
        <f t="shared" ca="1" si="1"/>
        <v/>
      </c>
      <c r="R36" s="13"/>
      <c r="S36" s="13"/>
    </row>
    <row r="37" spans="1:19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 t="str">
        <f t="shared" ca="1" si="1"/>
        <v/>
      </c>
      <c r="R37" s="13"/>
      <c r="S37" s="13"/>
    </row>
    <row r="38" spans="1:19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2" t="str">
        <f t="shared" ca="1" si="1"/>
        <v/>
      </c>
      <c r="R38" s="13"/>
      <c r="S38" s="13"/>
    </row>
    <row r="39" spans="1:19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2" t="str">
        <f t="shared" ca="1" si="1"/>
        <v/>
      </c>
      <c r="R39" s="13"/>
      <c r="S39" s="13"/>
    </row>
    <row r="40" spans="1:19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2" t="str">
        <f t="shared" ca="1" si="1"/>
        <v/>
      </c>
      <c r="R40" s="13"/>
      <c r="S40" s="13"/>
    </row>
    <row r="41" spans="1:19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2" t="str">
        <f t="shared" ca="1" si="1"/>
        <v/>
      </c>
      <c r="R41" s="13"/>
      <c r="S41" s="13"/>
    </row>
    <row r="42" spans="1:19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2" t="str">
        <f t="shared" ca="1" si="1"/>
        <v/>
      </c>
      <c r="R42" s="13"/>
      <c r="S42" s="13"/>
    </row>
    <row r="43" spans="1:19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2" t="str">
        <f t="shared" ca="1" si="1"/>
        <v/>
      </c>
      <c r="R43" s="13"/>
      <c r="S43" s="13"/>
    </row>
    <row r="44" spans="1:19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2" t="str">
        <f t="shared" ca="1" si="1"/>
        <v/>
      </c>
      <c r="R44" s="13"/>
      <c r="S44" s="13"/>
    </row>
    <row r="45" spans="1:19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2" t="str">
        <f t="shared" ca="1" si="1"/>
        <v/>
      </c>
      <c r="R45" s="13"/>
      <c r="S45" s="13"/>
    </row>
    <row r="46" spans="1:19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2" t="str">
        <f t="shared" ca="1" si="1"/>
        <v/>
      </c>
      <c r="R46" s="13"/>
      <c r="S46" s="13"/>
    </row>
    <row r="47" spans="1:19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2" t="str">
        <f t="shared" ca="1" si="1"/>
        <v/>
      </c>
      <c r="R47" s="13"/>
      <c r="S47" s="13"/>
    </row>
    <row r="48" spans="1:19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2" t="str">
        <f t="shared" ca="1" si="1"/>
        <v/>
      </c>
      <c r="R48" s="13"/>
      <c r="S48" s="13"/>
    </row>
    <row r="49" spans="1:19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2" t="str">
        <f t="shared" ca="1" si="1"/>
        <v/>
      </c>
      <c r="R49" s="13"/>
      <c r="S49" s="13"/>
    </row>
    <row r="50" spans="1:19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2" t="str">
        <f t="shared" ca="1" si="1"/>
        <v/>
      </c>
      <c r="R50" s="13"/>
      <c r="S50" s="13"/>
    </row>
    <row r="51" spans="1:19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2" t="str">
        <f t="shared" ca="1" si="1"/>
        <v/>
      </c>
      <c r="R51" s="13"/>
      <c r="S51" s="13"/>
    </row>
    <row r="52" spans="1:19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2" t="str">
        <f t="shared" ca="1" si="1"/>
        <v/>
      </c>
      <c r="R52" s="13"/>
      <c r="S52" s="13"/>
    </row>
    <row r="53" spans="1:19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2" t="str">
        <f t="shared" ca="1" si="1"/>
        <v/>
      </c>
      <c r="R53" s="13"/>
      <c r="S53" s="13"/>
    </row>
    <row r="54" spans="1:19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2" t="str">
        <f t="shared" ca="1" si="1"/>
        <v/>
      </c>
      <c r="R54" s="13"/>
      <c r="S54" s="13"/>
    </row>
    <row r="55" spans="1:19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2" t="str">
        <f t="shared" ca="1" si="1"/>
        <v/>
      </c>
      <c r="R55" s="13"/>
      <c r="S55" s="13"/>
    </row>
    <row r="56" spans="1:19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2" t="str">
        <f t="shared" ca="1" si="1"/>
        <v/>
      </c>
      <c r="R56" s="13"/>
      <c r="S56" s="13"/>
    </row>
    <row r="57" spans="1:19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2" t="str">
        <f t="shared" ca="1" si="1"/>
        <v/>
      </c>
      <c r="R57" s="13"/>
      <c r="S57" s="13"/>
    </row>
    <row r="58" spans="1:19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2" t="str">
        <f t="shared" ca="1" si="1"/>
        <v/>
      </c>
      <c r="R58" s="13"/>
      <c r="S58" s="13"/>
    </row>
    <row r="59" spans="1:19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2" t="str">
        <f t="shared" ca="1" si="1"/>
        <v/>
      </c>
      <c r="R59" s="13"/>
      <c r="S59" s="13"/>
    </row>
    <row r="60" spans="1:19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2" t="str">
        <f t="shared" ca="1" si="1"/>
        <v/>
      </c>
      <c r="R60" s="13"/>
      <c r="S60" s="13"/>
    </row>
    <row r="61" spans="1:19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2" t="str">
        <f t="shared" ca="1" si="1"/>
        <v/>
      </c>
      <c r="R61" s="13"/>
      <c r="S61" s="13"/>
    </row>
    <row r="62" spans="1:19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2" t="str">
        <f t="shared" ca="1" si="1"/>
        <v/>
      </c>
      <c r="R62" s="13"/>
      <c r="S62" s="13"/>
    </row>
    <row r="63" spans="1:19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2" t="str">
        <f t="shared" ca="1" si="1"/>
        <v/>
      </c>
      <c r="R63" s="13"/>
      <c r="S63" s="13"/>
    </row>
    <row r="64" spans="1:19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2" t="str">
        <f t="shared" ca="1" si="1"/>
        <v/>
      </c>
      <c r="R64" s="13"/>
      <c r="S64" s="13"/>
    </row>
    <row r="65" spans="1:19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2" t="str">
        <f t="shared" ca="1" si="1"/>
        <v/>
      </c>
      <c r="R65" s="13"/>
      <c r="S65" s="13"/>
    </row>
    <row r="66" spans="1:19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2" t="str">
        <f t="shared" ca="1" si="1"/>
        <v/>
      </c>
      <c r="R66" s="13"/>
      <c r="S66" s="13"/>
    </row>
    <row r="67" spans="1:19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2" t="str">
        <f t="shared" ref="Q67:Q98" ca="1" si="2">IFERROR(IF(A67="","",IF(OR(O67="Закрыт",O67="Внедрён",O67="Отклонён"),"—",IF(N(P67)=0,"",IF(TODAY()&gt;P67,"Просрочен","В срок")))),"")</f>
        <v/>
      </c>
      <c r="R67" s="13"/>
      <c r="S67" s="13"/>
    </row>
    <row r="68" spans="1:19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2" t="str">
        <f t="shared" ca="1" si="2"/>
        <v/>
      </c>
      <c r="R68" s="13"/>
      <c r="S68" s="13"/>
    </row>
    <row r="69" spans="1:19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2" t="str">
        <f t="shared" ca="1" si="2"/>
        <v/>
      </c>
      <c r="R69" s="13"/>
      <c r="S69" s="13"/>
    </row>
    <row r="70" spans="1:19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2" t="str">
        <f t="shared" ca="1" si="2"/>
        <v/>
      </c>
      <c r="R70" s="13"/>
      <c r="S70" s="13"/>
    </row>
    <row r="71" spans="1:19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2" t="str">
        <f t="shared" ca="1" si="2"/>
        <v/>
      </c>
      <c r="R71" s="13"/>
      <c r="S71" s="13"/>
    </row>
    <row r="72" spans="1:19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2" t="str">
        <f t="shared" ca="1" si="2"/>
        <v/>
      </c>
      <c r="R72" s="13"/>
      <c r="S72" s="13"/>
    </row>
    <row r="73" spans="1:19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2" t="str">
        <f t="shared" ca="1" si="2"/>
        <v/>
      </c>
      <c r="R73" s="13"/>
      <c r="S73" s="13"/>
    </row>
    <row r="74" spans="1:19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2" t="str">
        <f t="shared" ca="1" si="2"/>
        <v/>
      </c>
      <c r="R74" s="13"/>
      <c r="S74" s="13"/>
    </row>
    <row r="75" spans="1:19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2" t="str">
        <f t="shared" ca="1" si="2"/>
        <v/>
      </c>
      <c r="R75" s="13"/>
      <c r="S75" s="13"/>
    </row>
    <row r="76" spans="1:19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2" t="str">
        <f t="shared" ca="1" si="2"/>
        <v/>
      </c>
      <c r="R76" s="13"/>
      <c r="S76" s="13"/>
    </row>
    <row r="77" spans="1:19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2" t="str">
        <f t="shared" ca="1" si="2"/>
        <v/>
      </c>
      <c r="R77" s="13"/>
      <c r="S77" s="13"/>
    </row>
    <row r="78" spans="1:19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2" t="str">
        <f t="shared" ca="1" si="2"/>
        <v/>
      </c>
      <c r="R78" s="13"/>
      <c r="S78" s="13"/>
    </row>
    <row r="79" spans="1:19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2" t="str">
        <f t="shared" ca="1" si="2"/>
        <v/>
      </c>
      <c r="R79" s="13"/>
      <c r="S79" s="13"/>
    </row>
    <row r="80" spans="1:19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2" t="str">
        <f t="shared" ca="1" si="2"/>
        <v/>
      </c>
      <c r="R80" s="13"/>
      <c r="S80" s="13"/>
    </row>
    <row r="81" spans="1:19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" t="str">
        <f t="shared" ca="1" si="2"/>
        <v/>
      </c>
      <c r="R81" s="13"/>
      <c r="S81" s="13"/>
    </row>
    <row r="82" spans="1:19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" t="str">
        <f t="shared" ca="1" si="2"/>
        <v/>
      </c>
      <c r="R82" s="13"/>
      <c r="S82" s="13"/>
    </row>
    <row r="83" spans="1:19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" t="str">
        <f t="shared" ca="1" si="2"/>
        <v/>
      </c>
      <c r="R83" s="13"/>
      <c r="S83" s="13"/>
    </row>
    <row r="84" spans="1:19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2" t="str">
        <f t="shared" ca="1" si="2"/>
        <v/>
      </c>
      <c r="R84" s="13"/>
      <c r="S84" s="13"/>
    </row>
    <row r="85" spans="1:19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2" t="str">
        <f t="shared" ca="1" si="2"/>
        <v/>
      </c>
      <c r="R85" s="13"/>
      <c r="S85" s="13"/>
    </row>
    <row r="86" spans="1:19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2" t="str">
        <f t="shared" ca="1" si="2"/>
        <v/>
      </c>
      <c r="R86" s="13"/>
      <c r="S86" s="13"/>
    </row>
    <row r="87" spans="1:19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2" t="str">
        <f t="shared" ca="1" si="2"/>
        <v/>
      </c>
      <c r="R87" s="13"/>
      <c r="S87" s="13"/>
    </row>
    <row r="88" spans="1:19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2" t="str">
        <f t="shared" ca="1" si="2"/>
        <v/>
      </c>
      <c r="R88" s="13"/>
      <c r="S88" s="13"/>
    </row>
    <row r="89" spans="1:19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2" t="str">
        <f t="shared" ca="1" si="2"/>
        <v/>
      </c>
      <c r="R89" s="13"/>
      <c r="S89" s="13"/>
    </row>
    <row r="90" spans="1:19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2" t="str">
        <f t="shared" ca="1" si="2"/>
        <v/>
      </c>
      <c r="R90" s="13"/>
      <c r="S90" s="13"/>
    </row>
    <row r="91" spans="1:1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2" t="str">
        <f t="shared" ca="1" si="2"/>
        <v/>
      </c>
      <c r="R91" s="13"/>
      <c r="S91" s="13"/>
    </row>
    <row r="92" spans="1:1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2" t="str">
        <f t="shared" ca="1" si="2"/>
        <v/>
      </c>
      <c r="R92" s="13"/>
      <c r="S92" s="13"/>
    </row>
    <row r="93" spans="1:1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2" t="str">
        <f t="shared" ca="1" si="2"/>
        <v/>
      </c>
      <c r="R93" s="13"/>
      <c r="S93" s="13"/>
    </row>
    <row r="94" spans="1:1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2" t="str">
        <f t="shared" ca="1" si="2"/>
        <v/>
      </c>
      <c r="R94" s="13"/>
      <c r="S94" s="13"/>
    </row>
    <row r="95" spans="1:1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2" t="str">
        <f t="shared" ca="1" si="2"/>
        <v/>
      </c>
      <c r="R95" s="13"/>
      <c r="S95" s="13"/>
    </row>
    <row r="96" spans="1:1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2" t="str">
        <f t="shared" ca="1" si="2"/>
        <v/>
      </c>
      <c r="R96" s="13"/>
      <c r="S96" s="13"/>
    </row>
    <row r="97" spans="1:1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2" t="str">
        <f t="shared" ca="1" si="2"/>
        <v/>
      </c>
      <c r="R97" s="13"/>
      <c r="S97" s="13"/>
    </row>
    <row r="98" spans="1:1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2" t="str">
        <f t="shared" ca="1" si="2"/>
        <v/>
      </c>
      <c r="R98" s="13"/>
      <c r="S98" s="13"/>
    </row>
    <row r="99" spans="1:1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2" t="str">
        <f t="shared" ref="Q99:Q130" ca="1" si="3">IFERROR(IF(A99="","",IF(OR(O99="Закрыт",O99="Внедрён",O99="Отклонён"),"—",IF(N(P99)=0,"",IF(TODAY()&gt;P99,"Просрочен","В срок")))),"")</f>
        <v/>
      </c>
      <c r="R99" s="13"/>
      <c r="S99" s="13"/>
    </row>
    <row r="100" spans="1:1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2" t="str">
        <f t="shared" ca="1" si="3"/>
        <v/>
      </c>
      <c r="R100" s="13"/>
      <c r="S100" s="13"/>
    </row>
    <row r="101" spans="1:1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2" t="str">
        <f t="shared" ca="1" si="3"/>
        <v/>
      </c>
      <c r="R101" s="13"/>
      <c r="S101" s="13"/>
    </row>
    <row r="102" spans="1:1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2" t="str">
        <f t="shared" ca="1" si="3"/>
        <v/>
      </c>
      <c r="R102" s="13"/>
      <c r="S102" s="13"/>
    </row>
    <row r="103" spans="1:1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2" t="str">
        <f t="shared" ca="1" si="3"/>
        <v/>
      </c>
      <c r="R103" s="13"/>
      <c r="S103" s="13"/>
    </row>
    <row r="104" spans="1:1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2" t="str">
        <f t="shared" ca="1" si="3"/>
        <v/>
      </c>
      <c r="R104" s="13"/>
      <c r="S104" s="13"/>
    </row>
    <row r="105" spans="1:1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2" t="str">
        <f t="shared" ca="1" si="3"/>
        <v/>
      </c>
      <c r="R105" s="13"/>
      <c r="S105" s="13"/>
    </row>
    <row r="106" spans="1:1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2" t="str">
        <f t="shared" ca="1" si="3"/>
        <v/>
      </c>
      <c r="R106" s="13"/>
      <c r="S106" s="13"/>
    </row>
    <row r="107" spans="1:1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2" t="str">
        <f t="shared" ca="1" si="3"/>
        <v/>
      </c>
      <c r="R107" s="13"/>
      <c r="S107" s="13"/>
    </row>
    <row r="108" spans="1:1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2" t="str">
        <f t="shared" ca="1" si="3"/>
        <v/>
      </c>
      <c r="R108" s="13"/>
      <c r="S108" s="13"/>
    </row>
    <row r="109" spans="1:1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2" t="str">
        <f t="shared" ca="1" si="3"/>
        <v/>
      </c>
      <c r="R109" s="13"/>
      <c r="S109" s="13"/>
    </row>
    <row r="110" spans="1:1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2" t="str">
        <f t="shared" ca="1" si="3"/>
        <v/>
      </c>
      <c r="R110" s="13"/>
      <c r="S110" s="13"/>
    </row>
    <row r="111" spans="1:1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" t="str">
        <f t="shared" ca="1" si="3"/>
        <v/>
      </c>
      <c r="R111" s="13"/>
      <c r="S111" s="13"/>
    </row>
    <row r="112" spans="1:1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" t="str">
        <f t="shared" ca="1" si="3"/>
        <v/>
      </c>
      <c r="R112" s="13"/>
      <c r="S112" s="13"/>
    </row>
    <row r="113" spans="1:1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" t="str">
        <f t="shared" ca="1" si="3"/>
        <v/>
      </c>
      <c r="R113" s="13"/>
      <c r="S113" s="13"/>
    </row>
    <row r="114" spans="1:1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" t="str">
        <f t="shared" ca="1" si="3"/>
        <v/>
      </c>
      <c r="R114" s="13"/>
      <c r="S114" s="13"/>
    </row>
    <row r="115" spans="1:1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2" t="str">
        <f t="shared" ca="1" si="3"/>
        <v/>
      </c>
      <c r="R115" s="13"/>
      <c r="S115" s="13"/>
    </row>
    <row r="116" spans="1:1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2" t="str">
        <f t="shared" ca="1" si="3"/>
        <v/>
      </c>
      <c r="R116" s="13"/>
      <c r="S116" s="13"/>
    </row>
    <row r="117" spans="1:1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2" t="str">
        <f t="shared" ca="1" si="3"/>
        <v/>
      </c>
      <c r="R117" s="13"/>
      <c r="S117" s="13"/>
    </row>
    <row r="118" spans="1:1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2" t="str">
        <f t="shared" ca="1" si="3"/>
        <v/>
      </c>
      <c r="R118" s="13"/>
      <c r="S118" s="13"/>
    </row>
    <row r="119" spans="1:1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" t="str">
        <f t="shared" ca="1" si="3"/>
        <v/>
      </c>
      <c r="R119" s="13"/>
      <c r="S119" s="13"/>
    </row>
    <row r="120" spans="1:1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2" t="str">
        <f t="shared" ca="1" si="3"/>
        <v/>
      </c>
      <c r="R120" s="13"/>
      <c r="S120" s="13"/>
    </row>
    <row r="121" spans="1:1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2" t="str">
        <f t="shared" ca="1" si="3"/>
        <v/>
      </c>
      <c r="R121" s="13"/>
      <c r="S121" s="13"/>
    </row>
    <row r="122" spans="1:1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2" t="str">
        <f t="shared" ca="1" si="3"/>
        <v/>
      </c>
      <c r="R122" s="13"/>
      <c r="S122" s="13"/>
    </row>
    <row r="123" spans="1:1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2" t="str">
        <f t="shared" ca="1" si="3"/>
        <v/>
      </c>
      <c r="R123" s="13"/>
      <c r="S123" s="13"/>
    </row>
    <row r="124" spans="1:1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2" t="str">
        <f t="shared" ca="1" si="3"/>
        <v/>
      </c>
      <c r="R124" s="13"/>
      <c r="S124" s="13"/>
    </row>
    <row r="125" spans="1:1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2" t="str">
        <f t="shared" ca="1" si="3"/>
        <v/>
      </c>
      <c r="R125" s="13"/>
      <c r="S125" s="13"/>
    </row>
    <row r="126" spans="1:1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2" t="str">
        <f t="shared" ca="1" si="3"/>
        <v/>
      </c>
      <c r="R126" s="13"/>
      <c r="S126" s="13"/>
    </row>
    <row r="127" spans="1:1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2" t="str">
        <f t="shared" ca="1" si="3"/>
        <v/>
      </c>
      <c r="R127" s="13"/>
      <c r="S127" s="13"/>
    </row>
    <row r="128" spans="1:1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2" t="str">
        <f t="shared" ca="1" si="3"/>
        <v/>
      </c>
      <c r="R128" s="13"/>
      <c r="S128" s="13"/>
    </row>
    <row r="129" spans="1:1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2" t="str">
        <f t="shared" ca="1" si="3"/>
        <v/>
      </c>
      <c r="R129" s="13"/>
      <c r="S129" s="13"/>
    </row>
    <row r="130" spans="1:1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2" t="str">
        <f t="shared" ca="1" si="3"/>
        <v/>
      </c>
      <c r="R130" s="13"/>
      <c r="S130" s="13"/>
    </row>
    <row r="131" spans="1:1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2" t="str">
        <f t="shared" ref="Q131:Q162" ca="1" si="4">IFERROR(IF(A131="","",IF(OR(O131="Закрыт",O131="Внедрён",O131="Отклонён"),"—",IF(N(P131)=0,"",IF(TODAY()&gt;P131,"Просрочен","В срок")))),"")</f>
        <v/>
      </c>
      <c r="R131" s="13"/>
      <c r="S131" s="13"/>
    </row>
    <row r="132" spans="1:1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2" t="str">
        <f t="shared" ca="1" si="4"/>
        <v/>
      </c>
      <c r="R132" s="13"/>
      <c r="S132" s="13"/>
    </row>
    <row r="133" spans="1:1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2" t="str">
        <f t="shared" ca="1" si="4"/>
        <v/>
      </c>
      <c r="R133" s="13"/>
      <c r="S133" s="13"/>
    </row>
    <row r="134" spans="1:1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2" t="str">
        <f t="shared" ca="1" si="4"/>
        <v/>
      </c>
      <c r="R134" s="13"/>
      <c r="S134" s="13"/>
    </row>
    <row r="135" spans="1:1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2" t="str">
        <f t="shared" ca="1" si="4"/>
        <v/>
      </c>
      <c r="R135" s="13"/>
      <c r="S135" s="13"/>
    </row>
    <row r="136" spans="1:1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2" t="str">
        <f t="shared" ca="1" si="4"/>
        <v/>
      </c>
      <c r="R136" s="13"/>
      <c r="S136" s="13"/>
    </row>
    <row r="137" spans="1:1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2" t="str">
        <f t="shared" ca="1" si="4"/>
        <v/>
      </c>
      <c r="R137" s="13"/>
      <c r="S137" s="13"/>
    </row>
    <row r="138" spans="1:1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2" t="str">
        <f t="shared" ca="1" si="4"/>
        <v/>
      </c>
      <c r="R138" s="13"/>
      <c r="S138" s="13"/>
    </row>
    <row r="139" spans="1:1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2" t="str">
        <f t="shared" ca="1" si="4"/>
        <v/>
      </c>
      <c r="R139" s="13"/>
      <c r="S139" s="13"/>
    </row>
    <row r="140" spans="1:1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2" t="str">
        <f t="shared" ca="1" si="4"/>
        <v/>
      </c>
      <c r="R140" s="13"/>
      <c r="S140" s="13"/>
    </row>
    <row r="141" spans="1:1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2" t="str">
        <f t="shared" ca="1" si="4"/>
        <v/>
      </c>
      <c r="R141" s="13"/>
      <c r="S141" s="13"/>
    </row>
    <row r="142" spans="1:1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2" t="str">
        <f t="shared" ca="1" si="4"/>
        <v/>
      </c>
      <c r="R142" s="13"/>
      <c r="S142" s="13"/>
    </row>
    <row r="143" spans="1:1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2" t="str">
        <f t="shared" ca="1" si="4"/>
        <v/>
      </c>
      <c r="R143" s="13"/>
      <c r="S143" s="13"/>
    </row>
    <row r="144" spans="1:1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2" t="str">
        <f t="shared" ca="1" si="4"/>
        <v/>
      </c>
      <c r="R144" s="13"/>
      <c r="S144" s="13"/>
    </row>
    <row r="145" spans="1:1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2" t="str">
        <f t="shared" ca="1" si="4"/>
        <v/>
      </c>
      <c r="R145" s="13"/>
      <c r="S145" s="13"/>
    </row>
    <row r="146" spans="1:1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2" t="str">
        <f t="shared" ca="1" si="4"/>
        <v/>
      </c>
      <c r="R146" s="13"/>
      <c r="S146" s="13"/>
    </row>
    <row r="147" spans="1:1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2" t="str">
        <f t="shared" ca="1" si="4"/>
        <v/>
      </c>
      <c r="R147" s="13"/>
      <c r="S147" s="13"/>
    </row>
    <row r="148" spans="1:1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2" t="str">
        <f t="shared" ca="1" si="4"/>
        <v/>
      </c>
      <c r="R148" s="13"/>
      <c r="S148" s="13"/>
    </row>
    <row r="149" spans="1:1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2" t="str">
        <f t="shared" ca="1" si="4"/>
        <v/>
      </c>
      <c r="R149" s="13"/>
      <c r="S149" s="13"/>
    </row>
    <row r="150" spans="1:1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2" t="str">
        <f t="shared" ca="1" si="4"/>
        <v/>
      </c>
      <c r="R150" s="13"/>
      <c r="S150" s="13"/>
    </row>
    <row r="151" spans="1:1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2" t="str">
        <f t="shared" ca="1" si="4"/>
        <v/>
      </c>
      <c r="R151" s="13"/>
      <c r="S151" s="13"/>
    </row>
    <row r="152" spans="1:1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2" t="str">
        <f t="shared" ca="1" si="4"/>
        <v/>
      </c>
      <c r="R152" s="13"/>
      <c r="S152" s="13"/>
    </row>
  </sheetData>
  <autoFilter ref="A2:S152" xr:uid="{00000000-0009-0000-0000-000001000000}"/>
  <conditionalFormatting sqref="Q3:Q152">
    <cfRule type="cellIs" dxfId="0" priority="2" operator="equal">
      <formula>"Просрочен"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="Выберите из списка" xr:uid="{00000000-0002-0000-0100-000000000000}">
          <x14:formula1>
            <xm:f>Справочники!$A$2:$A$5</xm:f>
          </x14:formula1>
          <x14:formula2>
            <xm:f>0</xm:f>
          </x14:formula2>
          <xm:sqref>F3:F152</xm:sqref>
        </x14:dataValidation>
        <x14:dataValidation type="list" allowBlank="1" error="Выберите из списка" xr:uid="{00000000-0002-0000-0100-000001000000}">
          <x14:formula1>
            <xm:f>Справочники!$B$2:$B$10</xm:f>
          </x14:formula1>
          <x14:formula2>
            <xm:f>0</xm:f>
          </x14:formula2>
          <xm:sqref>G3:G152</xm:sqref>
        </x14:dataValidation>
        <x14:dataValidation type="list" allowBlank="1" error="Выберите из списка" xr:uid="{00000000-0002-0000-0100-000002000000}">
          <x14:formula1>
            <xm:f>Справочники!$C$2:$C$9</xm:f>
          </x14:formula1>
          <x14:formula2>
            <xm:f>0</xm:f>
          </x14:formula2>
          <xm:sqref>O3:O152</xm:sqref>
        </x14:dataValidation>
        <x14:dataValidation type="list" allowBlank="1" error="Выберите из списка" xr:uid="{00000000-0002-0000-0100-000003000000}">
          <x14:formula1>
            <xm:f>Справочники!$D$2:$D$6</xm:f>
          </x14:formula1>
          <x14:formula2>
            <xm:f>0</xm:f>
          </x14:formula2>
          <xm:sqref>M3:M152</xm:sqref>
        </x14:dataValidation>
        <x14:dataValidation type="list" allowBlank="1" error="Выберите из списка" xr:uid="{00000000-0002-0000-0100-000004000000}">
          <x14:formula1>
            <xm:f>Справочники!$E$2:$E$5</xm:f>
          </x14:formula1>
          <x14:formula2>
            <xm:f>0</xm:f>
          </x14:formula2>
          <xm:sqref>L3:L152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5"/>
  <sheetViews>
    <sheetView showGridLines="0" zoomScaleNormal="100" workbookViewId="0">
      <selection activeCell="J23" sqref="J23"/>
    </sheetView>
  </sheetViews>
  <sheetFormatPr defaultColWidth="8.7109375" defaultRowHeight="15" x14ac:dyDescent="0.25"/>
  <cols>
    <col min="1" max="1" width="3" customWidth="1"/>
    <col min="2" max="2" width="24" customWidth="1"/>
    <col min="3" max="3" width="12" customWidth="1"/>
    <col min="4" max="4" width="3" customWidth="1"/>
    <col min="5" max="5" width="18" customWidth="1"/>
    <col min="6" max="6" width="12" customWidth="1"/>
  </cols>
  <sheetData>
    <row r="2" spans="2:6" ht="18" x14ac:dyDescent="0.25">
      <c r="B2" s="9" t="s">
        <v>86</v>
      </c>
    </row>
    <row r="3" spans="2:6" x14ac:dyDescent="0.25">
      <c r="B3" s="2" t="s">
        <v>87</v>
      </c>
    </row>
    <row r="5" spans="2:6" ht="15.75" x14ac:dyDescent="0.25">
      <c r="B5" s="5" t="s">
        <v>88</v>
      </c>
      <c r="E5" s="5" t="s">
        <v>89</v>
      </c>
    </row>
    <row r="6" spans="2:6" x14ac:dyDescent="0.25">
      <c r="B6" s="10" t="s">
        <v>45</v>
      </c>
      <c r="C6" s="10" t="s">
        <v>90</v>
      </c>
      <c r="E6" s="10" t="s">
        <v>36</v>
      </c>
      <c r="F6" s="10" t="s">
        <v>90</v>
      </c>
    </row>
    <row r="7" spans="2:6" x14ac:dyDescent="0.25">
      <c r="B7" s="14" t="s">
        <v>91</v>
      </c>
      <c r="C7" s="15">
        <f>COUNTIF('Реестр CR'!$O$3:$O$152,"Подан")</f>
        <v>0</v>
      </c>
      <c r="E7" s="14" t="s">
        <v>80</v>
      </c>
      <c r="F7" s="15">
        <f>COUNTIF('Реестр CR'!$F$3:$F$152,"Незначительное")</f>
        <v>1</v>
      </c>
    </row>
    <row r="8" spans="2:6" x14ac:dyDescent="0.25">
      <c r="B8" s="14" t="s">
        <v>92</v>
      </c>
      <c r="C8" s="15">
        <f>COUNTIF('Реестр CR'!$O$3:$O$152,"На оценке")</f>
        <v>0</v>
      </c>
      <c r="E8" s="14" t="s">
        <v>54</v>
      </c>
      <c r="F8" s="15">
        <f>COUNTIF('Реестр CR'!$F$3:$F$152,"Значительное")</f>
        <v>1</v>
      </c>
    </row>
    <row r="9" spans="2:6" x14ac:dyDescent="0.25">
      <c r="B9" s="14" t="s">
        <v>62</v>
      </c>
      <c r="C9" s="15">
        <f>COUNTIF('Реестр CR'!$O$3:$O$152,"На рассмотрении")</f>
        <v>1</v>
      </c>
      <c r="E9" s="14" t="s">
        <v>68</v>
      </c>
      <c r="F9" s="15">
        <f>COUNTIF('Реестр CR'!$F$3:$F$152,"Критическое")</f>
        <v>1</v>
      </c>
    </row>
    <row r="10" spans="2:6" x14ac:dyDescent="0.25">
      <c r="B10" s="14" t="s">
        <v>75</v>
      </c>
      <c r="C10" s="15">
        <f>COUNTIF('Реестр CR'!$O$3:$O$152,"Утверждён")</f>
        <v>1</v>
      </c>
      <c r="E10" s="14" t="s">
        <v>93</v>
      </c>
      <c r="F10" s="15">
        <f>COUNTIF('Реестр CR'!$F$3:$F$152,"Срочное")</f>
        <v>0</v>
      </c>
    </row>
    <row r="11" spans="2:6" x14ac:dyDescent="0.25">
      <c r="B11" s="14" t="s">
        <v>94</v>
      </c>
      <c r="C11" s="15">
        <f>COUNTIF('Реестр CR'!$O$3:$O$152,"Отклонён")</f>
        <v>0</v>
      </c>
    </row>
    <row r="12" spans="2:6" x14ac:dyDescent="0.25">
      <c r="B12" s="14" t="s">
        <v>95</v>
      </c>
      <c r="C12" s="15">
        <f>COUNTIF('Реестр CR'!$O$3:$O$152,"Отложен")</f>
        <v>0</v>
      </c>
    </row>
    <row r="13" spans="2:6" x14ac:dyDescent="0.25">
      <c r="B13" s="14" t="s">
        <v>85</v>
      </c>
      <c r="C13" s="15">
        <f>COUNTIF('Реестр CR'!$O$3:$O$152,"Внедрён")</f>
        <v>1</v>
      </c>
    </row>
    <row r="14" spans="2:6" x14ac:dyDescent="0.25">
      <c r="B14" s="14" t="s">
        <v>96</v>
      </c>
      <c r="C14" s="15">
        <f>COUNTIF('Реестр CR'!$O$3:$O$152,"Закрыт")</f>
        <v>0</v>
      </c>
    </row>
    <row r="15" spans="2:6" x14ac:dyDescent="0.25">
      <c r="B15" s="16" t="s">
        <v>97</v>
      </c>
      <c r="C15" s="17">
        <f>COUNTA('Реестр CR'!$A$3:$A$152)</f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20" customWidth="1"/>
    <col min="3" max="5" width="22" customWidth="1"/>
  </cols>
  <sheetData>
    <row r="1" spans="1:5" x14ac:dyDescent="0.25">
      <c r="A1" s="10" t="s">
        <v>36</v>
      </c>
      <c r="B1" s="10" t="s">
        <v>37</v>
      </c>
      <c r="C1" s="10" t="s">
        <v>45</v>
      </c>
      <c r="D1" s="10" t="s">
        <v>43</v>
      </c>
      <c r="E1" s="10" t="s">
        <v>42</v>
      </c>
    </row>
    <row r="2" spans="1:5" x14ac:dyDescent="0.25">
      <c r="A2" s="14" t="s">
        <v>80</v>
      </c>
      <c r="B2" s="14" t="s">
        <v>98</v>
      </c>
      <c r="C2" s="14" t="s">
        <v>91</v>
      </c>
      <c r="D2" s="14" t="s">
        <v>74</v>
      </c>
      <c r="E2" s="14" t="s">
        <v>84</v>
      </c>
    </row>
    <row r="3" spans="1:5" x14ac:dyDescent="0.25">
      <c r="A3" s="14" t="s">
        <v>54</v>
      </c>
      <c r="B3" s="14" t="s">
        <v>99</v>
      </c>
      <c r="C3" s="14" t="s">
        <v>92</v>
      </c>
      <c r="D3" s="14" t="s">
        <v>100</v>
      </c>
      <c r="E3" s="14" t="s">
        <v>60</v>
      </c>
    </row>
    <row r="4" spans="1:5" x14ac:dyDescent="0.25">
      <c r="A4" s="14" t="s">
        <v>68</v>
      </c>
      <c r="B4" s="14" t="s">
        <v>101</v>
      </c>
      <c r="C4" s="14" t="s">
        <v>62</v>
      </c>
      <c r="D4" s="14" t="s">
        <v>102</v>
      </c>
      <c r="E4" s="14" t="s">
        <v>73</v>
      </c>
    </row>
    <row r="5" spans="1:5" x14ac:dyDescent="0.25">
      <c r="A5" s="14" t="s">
        <v>93</v>
      </c>
      <c r="B5" s="14" t="s">
        <v>69</v>
      </c>
      <c r="C5" s="14" t="s">
        <v>75</v>
      </c>
      <c r="D5" s="14" t="s">
        <v>61</v>
      </c>
      <c r="E5" s="14" t="s">
        <v>103</v>
      </c>
    </row>
    <row r="6" spans="1:5" x14ac:dyDescent="0.25">
      <c r="B6" s="14" t="s">
        <v>104</v>
      </c>
      <c r="C6" s="14" t="s">
        <v>94</v>
      </c>
      <c r="D6" s="14" t="s">
        <v>105</v>
      </c>
    </row>
    <row r="7" spans="1:5" x14ac:dyDescent="0.25">
      <c r="B7" s="14" t="s">
        <v>106</v>
      </c>
      <c r="C7" s="14" t="s">
        <v>95</v>
      </c>
    </row>
    <row r="8" spans="1:5" x14ac:dyDescent="0.25">
      <c r="B8" s="14" t="s">
        <v>55</v>
      </c>
      <c r="C8" s="14" t="s">
        <v>85</v>
      </c>
    </row>
    <row r="9" spans="1:5" x14ac:dyDescent="0.25">
      <c r="B9" s="14" t="s">
        <v>107</v>
      </c>
      <c r="C9" s="14" t="s">
        <v>96</v>
      </c>
    </row>
    <row r="10" spans="1:5" x14ac:dyDescent="0.25">
      <c r="B10" s="14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8" t="s">
        <v>108</v>
      </c>
    </row>
    <row r="2" spans="1:4" x14ac:dyDescent="0.25">
      <c r="A2" s="10" t="s">
        <v>109</v>
      </c>
      <c r="B2" s="10" t="s">
        <v>110</v>
      </c>
      <c r="C2" s="10" t="s">
        <v>111</v>
      </c>
      <c r="D2" s="10" t="s">
        <v>112</v>
      </c>
    </row>
    <row r="3" spans="1:4" x14ac:dyDescent="0.25">
      <c r="A3" s="19" t="s">
        <v>113</v>
      </c>
      <c r="B3" s="19" t="s">
        <v>114</v>
      </c>
      <c r="C3" s="19" t="s">
        <v>115</v>
      </c>
      <c r="D3" s="19" t="s">
        <v>116</v>
      </c>
    </row>
    <row r="4" spans="1:4" x14ac:dyDescent="0.25">
      <c r="A4" s="20"/>
      <c r="B4" s="20"/>
      <c r="C4" s="20"/>
      <c r="D4" s="20"/>
    </row>
    <row r="5" spans="1:4" x14ac:dyDescent="0.25">
      <c r="A5" s="20"/>
      <c r="B5" s="20"/>
      <c r="C5" s="20"/>
      <c r="D5" s="20"/>
    </row>
    <row r="6" spans="1:4" x14ac:dyDescent="0.25">
      <c r="A6" s="20"/>
      <c r="B6" s="20"/>
      <c r="C6" s="20"/>
      <c r="D6" s="20"/>
    </row>
    <row r="7" spans="1:4" x14ac:dyDescent="0.25">
      <c r="A7" s="20"/>
      <c r="B7" s="20"/>
      <c r="C7" s="20"/>
      <c r="D7" s="2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CR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2026-06-19T07:45:55Z</dcterms:created>
  <dcterms:modified xsi:type="dcterms:W3CDTF">2026-06-19T07:48:36Z</dcterms:modified>
  <dc:language>en-US</dc:language>
</cp:coreProperties>
</file>