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4E97F8B3-FC18-4E4A-A583-729FC05055C5}" xr6:coauthVersionLast="47" xr6:coauthVersionMax="47" xr10:uidLastSave="{00000000-0000-0000-0000-000000000000}"/>
  <bookViews>
    <workbookView xWindow="4035" yWindow="2535" windowWidth="25860" windowHeight="16530" tabRatio="500" activeTab="1" xr2:uid="{00000000-000D-0000-FFFF-FFFF00000000}"/>
  </bookViews>
  <sheets>
    <sheet name="Инструкция" sheetId="1" r:id="rId1"/>
    <sheet name="Матрица коммуникаций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'Матрица коммуникаций'!$A$2:$J$62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2" i="3" l="1"/>
  <c r="F21" i="3"/>
  <c r="F20" i="3"/>
  <c r="F19" i="3"/>
  <c r="F18" i="3"/>
  <c r="F17" i="3"/>
  <c r="F16" i="3"/>
  <c r="F15" i="3"/>
  <c r="C15" i="3"/>
  <c r="C14" i="3"/>
  <c r="C13" i="3"/>
  <c r="C12" i="3"/>
  <c r="C11" i="3"/>
  <c r="F10" i="3"/>
  <c r="C10" i="3"/>
  <c r="F9" i="3"/>
  <c r="C9" i="3"/>
  <c r="F8" i="3"/>
  <c r="C8" i="3"/>
  <c r="F7" i="3"/>
  <c r="C7" i="3"/>
</calcChain>
</file>

<file path=xl/sharedStrings.xml><?xml version="1.0" encoding="utf-8"?>
<sst xmlns="http://schemas.openxmlformats.org/spreadsheetml/2006/main" count="212" uniqueCount="134">
  <si>
    <t>МАТРИЦА КОММУНИКАЦИЙ ПРОЕКТА</t>
  </si>
  <si>
    <t>Communications Matrix — разработана на основе PMBOK Guide (8th edition)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</si>
  <si>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</si>
  <si>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</si>
  <si>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</si>
  <si>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</si>
  <si>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</si>
  <si>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</si>
  <si>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</si>
  <si>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</si>
  <si>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</si>
  <si>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</si>
  <si>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</si>
  <si>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Матрица определяет, какие коммуникации ведутся в проекте: что сообщается, кому, с какой целью, по какому каналу, с какой периодичностью, в каком формате и кто отвечает. Операционно раскрывает раздел 9 Плана управления проектом. Учитывая 100–500 стейкхолдеров, коммуникации структурированы по группам и направленности.</t>
  </si>
  <si>
    <t>Состав листов</t>
  </si>
  <si>
    <t>Матрица коммуникаций</t>
  </si>
  <si>
    <t>Основной реестр. Одна строка — одна регулярная или событийная коммуникация.</t>
  </si>
  <si>
    <t>Сводка</t>
  </si>
  <si>
    <t>Аналитика по периодичности, каналам, направленности.</t>
  </si>
  <si>
    <t>Справочники</t>
  </si>
  <si>
    <t>Списки значений для выпадающих полей.</t>
  </si>
  <si>
    <t>Журнал изменений</t>
  </si>
  <si>
    <t>Версии документа.</t>
  </si>
  <si>
    <t>Как заполнять</t>
  </si>
  <si>
    <t>•  Каждая строка — отдельная коммуникация (отчёт, совещание, рассылка, эскалация).</t>
  </si>
  <si>
    <t>•  Аудитория — конкретная группа стейкхолдеров (согласуйте с Реестром стейкхолдеров).</t>
  </si>
  <si>
    <t>•  Направленность: вверх (руководству), горизонтально (в команде), вниз (пользователям), вовне (внешним).</t>
  </si>
  <si>
    <t>•  Указывайте ответственного за подготовку и канал доставки; формат — ссылка на шаблон, если есть.</t>
  </si>
  <si>
    <t>•  Периодичность задавайте из справочника; для событийных — указывайте триггер в примечании.</t>
  </si>
  <si>
    <t>Матрица коммуникаций проекта</t>
  </si>
  <si>
    <t>ID</t>
  </si>
  <si>
    <t>Коммуникация</t>
  </si>
  <si>
    <t>Цель / содержание</t>
  </si>
  <si>
    <t>Аудитория</t>
  </si>
  <si>
    <t>Направленность</t>
  </si>
  <si>
    <t>Канал</t>
  </si>
  <si>
    <t>Периодичность</t>
  </si>
  <si>
    <t>Формат</t>
  </si>
  <si>
    <t>Ответственный</t>
  </si>
  <si>
    <t>Триггер / примечание</t>
  </si>
  <si>
    <t>C-01</t>
  </si>
  <si>
    <t>Статус-отчёт по проекту</t>
  </si>
  <si>
    <t>Текущий статус: сроки, бюджет, риски, открытые вопросы</t>
  </si>
  <si>
    <t>Кураторы</t>
  </si>
  <si>
    <t>Вверх (руководству)</t>
  </si>
  <si>
    <t>Система отчётности</t>
  </si>
  <si>
    <t>Еженедельно</t>
  </si>
  <si>
    <t>Текстовый отчёт</t>
  </si>
  <si>
    <t>[РП]</t>
  </si>
  <si>
    <t>Шаблон статус-отчёта</t>
  </si>
  <si>
    <t>C-02</t>
  </si>
  <si>
    <t>Заседание Управляющего комитета</t>
  </si>
  <si>
    <t>Стратегические решения, эскалации, утверждение изменений</t>
  </si>
  <si>
    <t>Спонсор / УК</t>
  </si>
  <si>
    <t>Видеоконференция</t>
  </si>
  <si>
    <t>Ежемесячно</t>
  </si>
  <si>
    <t>Презентация</t>
  </si>
  <si>
    <t>+ протокол по итогам</t>
  </si>
  <si>
    <t>C-03</t>
  </si>
  <si>
    <t>Оперативное совещание команды</t>
  </si>
  <si>
    <t>Координация работ, блокеры, план на неделю</t>
  </si>
  <si>
    <t>Команда проекта</t>
  </si>
  <si>
    <t>Горизонтально (команда)</t>
  </si>
  <si>
    <t>Устно</t>
  </si>
  <si>
    <t>Краткие заметки в портал</t>
  </si>
  <si>
    <t>C-04</t>
  </si>
  <si>
    <t>Совещание рабочей группы</t>
  </si>
  <si>
    <t>Проработка требований/решений по направлению</t>
  </si>
  <si>
    <t>Рабочие группы</t>
  </si>
  <si>
    <t>Встреча (очно)</t>
  </si>
  <si>
    <t>По событию</t>
  </si>
  <si>
    <t>Протокол</t>
  </si>
  <si>
    <t>[Рук. РГ]</t>
  </si>
  <si>
    <t>По мере проработки волн</t>
  </si>
  <si>
    <t>C-05</t>
  </si>
  <si>
    <t>Согласование с владельцами смежных систем</t>
  </si>
  <si>
    <t>ЧТЗ на интеграции, стенды, графики</t>
  </si>
  <si>
    <t>Владельцы смежных систем</t>
  </si>
  <si>
    <t>[Архитектор]</t>
  </si>
  <si>
    <t>Критично для интеграций</t>
  </si>
  <si>
    <t>C-06</t>
  </si>
  <si>
    <t>Информирование пользователей</t>
  </si>
  <si>
    <t>Анонсы изменений, расписание обучения, запуск</t>
  </si>
  <si>
    <t>Конечные пользователи</t>
  </si>
  <si>
    <t>Вниз (пользователям)</t>
  </si>
  <si>
    <t>Рассылка</t>
  </si>
  <si>
    <t>По вехам</t>
  </si>
  <si>
    <t>Объявление</t>
  </si>
  <si>
    <t>[Тренер]</t>
  </si>
  <si>
    <t>Часть управления изменениями</t>
  </si>
  <si>
    <t>C-07</t>
  </si>
  <si>
    <t>Эскалация проблем</t>
  </si>
  <si>
    <t>Нерешённые на уровне РГ вопросы</t>
  </si>
  <si>
    <t>Эл. почта</t>
  </si>
  <si>
    <t>Письмо</t>
  </si>
  <si>
    <t>Триггер: не решено за [N] дней</t>
  </si>
  <si>
    <t>C-08</t>
  </si>
  <si>
    <t>Отчёт по рискам и изменениям</t>
  </si>
  <si>
    <t>Топ-риски, статусы CR</t>
  </si>
  <si>
    <t>Дашборд</t>
  </si>
  <si>
    <t>Из реестров рисков и CR</t>
  </si>
  <si>
    <t>C-09</t>
  </si>
  <si>
    <t>Приказы о закреплении ресурсов</t>
  </si>
  <si>
    <t>Выделение экспертов Заказчика</t>
  </si>
  <si>
    <t>Владельцы процессов</t>
  </si>
  <si>
    <t>Приказ/распоряжение</t>
  </si>
  <si>
    <t>Разово</t>
  </si>
  <si>
    <t>[Куратор]</t>
  </si>
  <si>
    <t>На старте фаз</t>
  </si>
  <si>
    <t>Сводка по коммуникациям</t>
  </si>
  <si>
    <t>Считается автоматически по листу «Матрица коммуникаций».</t>
  </si>
  <si>
    <t>По периодичности</t>
  </si>
  <si>
    <t>По направленности</t>
  </si>
  <si>
    <t>Кол-во</t>
  </si>
  <si>
    <t>Ежедневно</t>
  </si>
  <si>
    <t>Раз в 2 недели</t>
  </si>
  <si>
    <t>Вовне (внешние)</t>
  </si>
  <si>
    <t>По каналу</t>
  </si>
  <si>
    <t>По запросу</t>
  </si>
  <si>
    <t>Всего коммуникаций</t>
  </si>
  <si>
    <t>Мессенджер/чат</t>
  </si>
  <si>
    <t>Портал проекта</t>
  </si>
  <si>
    <t>Аудитория (группы)</t>
  </si>
  <si>
    <t>ИТ-служба</t>
  </si>
  <si>
    <t>Внешние (вендор)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</si>
  <si>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</si>
  <si>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</si>
  <si>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</si>
  <si>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</si>
  <si>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</si>
  <si>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</si>
  <si>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ДД.ММ.ГГГГ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</si>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</sst>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b/>
      <sz val="11"/>
      <color rgb="FF1F4E79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0" xfId="0" applyFont="1"/>
    <xf numFmtId="0" fontId="9" fillId="0" borderId="1" xfId="0" applyFont="1" applyBorder="1"/>
    <xf numFmtId="0" fontId="1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5"/>
  <sheetViews>
    <sheetView showGridLines="0" zoomScaleNormal="100" workbookViewId="0">
      <selection activeCell="C20" sqref="C20"/>
    </sheetView>
  </sheetViews>
  <sheetFormatPr defaultColWidth="8.7109375" defaultRowHeight="15" x14ac:dyDescent="0.25"/>
  <cols>
    <col min="1" max="1" width="3" customWidth="1"/>
    <col min="2" max="2" width="32" customWidth="1"/>
    <col min="3" max="3" width="95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1" spans="2:3" ht="15.75" x14ac:dyDescent="0.25">
      <c r="B11" s="5" t="s">
        <v>12</v>
      </c>
    </row>
    <row r="12" spans="2:3" ht="55.5" customHeight="1" x14ac:dyDescent="0.25">
      <c r="C12" s="6" t="s">
        <v>13</v>
      </c>
    </row>
    <row r="14" spans="2:3" ht="15.75" x14ac:dyDescent="0.25">
      <c r="B14" s="5" t="s">
        <v>14</v>
      </c>
    </row>
    <row r="15" spans="2:3" x14ac:dyDescent="0.25">
      <c r="B15" s="3" t="s">
        <v>15</v>
      </c>
      <c r="C15" s="7" t="s">
        <v>16</v>
      </c>
    </row>
    <row r="16" spans="2:3" x14ac:dyDescent="0.25">
      <c r="B16" s="3" t="s">
        <v>17</v>
      </c>
      <c r="C16" s="7" t="s">
        <v>18</v>
      </c>
    </row>
    <row r="17" spans="2:3" x14ac:dyDescent="0.25">
      <c r="B17" s="3" t="s">
        <v>19</v>
      </c>
      <c r="C17" s="7" t="s">
        <v>20</v>
      </c>
    </row>
    <row r="18" spans="2:3" x14ac:dyDescent="0.25">
      <c r="B18" s="3" t="s">
        <v>21</v>
      </c>
      <c r="C18" s="7" t="s">
        <v>22</v>
      </c>
    </row>
    <row r="20" spans="2:3" ht="15.75" x14ac:dyDescent="0.25">
      <c r="B20" s="5" t="s">
        <v>23</v>
      </c>
    </row>
    <row r="21" spans="2:3" ht="27.75" customHeight="1" x14ac:dyDescent="0.25">
      <c r="C21" s="7" t="s">
        <v>24</v>
      </c>
    </row>
    <row r="22" spans="2:3" ht="27.75" customHeight="1" x14ac:dyDescent="0.25">
      <c r="C22" s="7" t="s">
        <v>25</v>
      </c>
    </row>
    <row r="23" spans="2:3" ht="27.75" customHeight="1" x14ac:dyDescent="0.25">
      <c r="C23" s="7" t="s">
        <v>26</v>
      </c>
    </row>
    <row r="24" spans="2:3" ht="27.75" customHeight="1" x14ac:dyDescent="0.25">
      <c r="C24" s="7" t="s">
        <v>27</v>
      </c>
    </row>
    <row r="25" spans="2:3" ht="27.75" customHeight="1" x14ac:dyDescent="0.25">
      <c r="C25" s="7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11" sqref="C11"/>
    </sheetView>
  </sheetViews>
  <sheetFormatPr defaultColWidth="8.7109375" defaultRowHeight="15" x14ac:dyDescent="0.25"/>
  <cols>
    <col min="1" max="1" width="7" customWidth="1"/>
    <col min="2" max="2" width="26" customWidth="1"/>
    <col min="3" max="3" width="30" customWidth="1"/>
    <col min="4" max="4" width="22" customWidth="1"/>
    <col min="5" max="6" width="18" customWidth="1"/>
    <col min="7" max="8" width="16" customWidth="1"/>
    <col min="9" max="9" width="18" customWidth="1"/>
    <col min="10" max="10" width="24" customWidth="1"/>
  </cols>
  <sheetData>
    <row r="1" spans="1:10" ht="18" x14ac:dyDescent="0.25">
      <c r="A1" s="8" t="s">
        <v>29</v>
      </c>
    </row>
    <row r="2" spans="1:10" ht="36" customHeight="1" x14ac:dyDescent="0.25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  <c r="H2" s="9" t="s">
        <v>37</v>
      </c>
      <c r="I2" s="9" t="s">
        <v>38</v>
      </c>
      <c r="J2" s="9" t="s">
        <v>39</v>
      </c>
    </row>
    <row r="3" spans="1:10" ht="38.25" x14ac:dyDescent="0.25">
      <c r="A3" s="10" t="s">
        <v>40</v>
      </c>
      <c r="B3" s="10" t="s">
        <v>41</v>
      </c>
      <c r="C3" s="10" t="s">
        <v>42</v>
      </c>
      <c r="D3" s="10" t="s">
        <v>43</v>
      </c>
      <c r="E3" s="10" t="s">
        <v>44</v>
      </c>
      <c r="F3" s="10" t="s">
        <v>45</v>
      </c>
      <c r="G3" s="10" t="s">
        <v>46</v>
      </c>
      <c r="H3" s="10" t="s">
        <v>47</v>
      </c>
      <c r="I3" s="10" t="s">
        <v>48</v>
      </c>
      <c r="J3" s="10" t="s">
        <v>49</v>
      </c>
    </row>
    <row r="4" spans="1:10" ht="38.25" x14ac:dyDescent="0.25">
      <c r="A4" s="10" t="s">
        <v>50</v>
      </c>
      <c r="B4" s="10" t="s">
        <v>51</v>
      </c>
      <c r="C4" s="10" t="s">
        <v>52</v>
      </c>
      <c r="D4" s="10" t="s">
        <v>53</v>
      </c>
      <c r="E4" s="10" t="s">
        <v>44</v>
      </c>
      <c r="F4" s="10" t="s">
        <v>54</v>
      </c>
      <c r="G4" s="10" t="s">
        <v>55</v>
      </c>
      <c r="H4" s="10" t="s">
        <v>56</v>
      </c>
      <c r="I4" s="10" t="s">
        <v>48</v>
      </c>
      <c r="J4" s="10" t="s">
        <v>57</v>
      </c>
    </row>
    <row r="5" spans="1:10" ht="25.5" x14ac:dyDescent="0.25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62</v>
      </c>
      <c r="F5" s="10" t="s">
        <v>54</v>
      </c>
      <c r="G5" s="10" t="s">
        <v>46</v>
      </c>
      <c r="H5" s="10" t="s">
        <v>63</v>
      </c>
      <c r="I5" s="10" t="s">
        <v>48</v>
      </c>
      <c r="J5" s="10" t="s">
        <v>64</v>
      </c>
    </row>
    <row r="6" spans="1:10" ht="38.25" x14ac:dyDescent="0.25">
      <c r="A6" s="10" t="s">
        <v>65</v>
      </c>
      <c r="B6" s="10" t="s">
        <v>66</v>
      </c>
      <c r="C6" s="10" t="s">
        <v>67</v>
      </c>
      <c r="D6" s="10" t="s">
        <v>68</v>
      </c>
      <c r="E6" s="10" t="s">
        <v>62</v>
      </c>
      <c r="F6" s="10" t="s">
        <v>69</v>
      </c>
      <c r="G6" s="10" t="s">
        <v>70</v>
      </c>
      <c r="H6" s="10" t="s">
        <v>71</v>
      </c>
      <c r="I6" s="10" t="s">
        <v>72</v>
      </c>
      <c r="J6" s="10" t="s">
        <v>73</v>
      </c>
    </row>
    <row r="7" spans="1:10" ht="38.25" x14ac:dyDescent="0.25">
      <c r="A7" s="10" t="s">
        <v>74</v>
      </c>
      <c r="B7" s="10" t="s">
        <v>75</v>
      </c>
      <c r="C7" s="10" t="s">
        <v>76</v>
      </c>
      <c r="D7" s="10" t="s">
        <v>77</v>
      </c>
      <c r="E7" s="10" t="s">
        <v>62</v>
      </c>
      <c r="F7" s="10" t="s">
        <v>54</v>
      </c>
      <c r="G7" s="10" t="s">
        <v>70</v>
      </c>
      <c r="H7" s="10" t="s">
        <v>71</v>
      </c>
      <c r="I7" s="10" t="s">
        <v>78</v>
      </c>
      <c r="J7" s="10" t="s">
        <v>79</v>
      </c>
    </row>
    <row r="8" spans="1:10" ht="25.5" x14ac:dyDescent="0.25">
      <c r="A8" s="10" t="s">
        <v>80</v>
      </c>
      <c r="B8" s="10" t="s">
        <v>81</v>
      </c>
      <c r="C8" s="10" t="s">
        <v>82</v>
      </c>
      <c r="D8" s="10" t="s">
        <v>83</v>
      </c>
      <c r="E8" s="10" t="s">
        <v>84</v>
      </c>
      <c r="F8" s="10" t="s">
        <v>85</v>
      </c>
      <c r="G8" s="10" t="s">
        <v>86</v>
      </c>
      <c r="H8" s="10" t="s">
        <v>87</v>
      </c>
      <c r="I8" s="10" t="s">
        <v>88</v>
      </c>
      <c r="J8" s="10" t="s">
        <v>89</v>
      </c>
    </row>
    <row r="9" spans="1:10" ht="25.5" x14ac:dyDescent="0.25">
      <c r="A9" s="10" t="s">
        <v>90</v>
      </c>
      <c r="B9" s="10" t="s">
        <v>91</v>
      </c>
      <c r="C9" s="10" t="s">
        <v>92</v>
      </c>
      <c r="D9" s="10" t="s">
        <v>53</v>
      </c>
      <c r="E9" s="10" t="s">
        <v>44</v>
      </c>
      <c r="F9" s="10" t="s">
        <v>93</v>
      </c>
      <c r="G9" s="10" t="s">
        <v>70</v>
      </c>
      <c r="H9" s="10" t="s">
        <v>94</v>
      </c>
      <c r="I9" s="10" t="s">
        <v>48</v>
      </c>
      <c r="J9" s="10" t="s">
        <v>95</v>
      </c>
    </row>
    <row r="10" spans="1:10" ht="25.5" x14ac:dyDescent="0.25">
      <c r="A10" s="10" t="s">
        <v>96</v>
      </c>
      <c r="B10" s="10" t="s">
        <v>97</v>
      </c>
      <c r="C10" s="10" t="s">
        <v>98</v>
      </c>
      <c r="D10" s="10" t="s">
        <v>43</v>
      </c>
      <c r="E10" s="10" t="s">
        <v>44</v>
      </c>
      <c r="F10" s="10" t="s">
        <v>45</v>
      </c>
      <c r="G10" s="10" t="s">
        <v>55</v>
      </c>
      <c r="H10" s="10" t="s">
        <v>99</v>
      </c>
      <c r="I10" s="10" t="s">
        <v>48</v>
      </c>
      <c r="J10" s="10" t="s">
        <v>100</v>
      </c>
    </row>
    <row r="11" spans="1:10" ht="25.5" x14ac:dyDescent="0.25">
      <c r="A11" s="10" t="s">
        <v>101</v>
      </c>
      <c r="B11" s="10" t="s">
        <v>102</v>
      </c>
      <c r="C11" s="10" t="s">
        <v>103</v>
      </c>
      <c r="D11" s="10" t="s">
        <v>104</v>
      </c>
      <c r="E11" s="10" t="s">
        <v>84</v>
      </c>
      <c r="F11" s="10" t="s">
        <v>105</v>
      </c>
      <c r="G11" s="10" t="s">
        <v>106</v>
      </c>
      <c r="H11" s="10" t="s">
        <v>94</v>
      </c>
      <c r="I11" s="10" t="s">
        <v>107</v>
      </c>
      <c r="J11" s="10" t="s">
        <v>108</v>
      </c>
    </row>
    <row r="12" spans="1:1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</row>
    <row r="32" spans="1:10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</row>
    <row r="34" spans="1:10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 spans="1:10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 spans="1:10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</row>
    <row r="40" spans="1:10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spans="1:10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spans="1:10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spans="1:10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spans="1:10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spans="1:10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spans="1:10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</sheetData>
  <autoFilter ref="A2:J62" xr:uid="{00000000-0009-0000-0000-000001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error="Выберите из списка" xr:uid="{00000000-0002-0000-0100-000000000000}">
          <x14:formula1>
            <xm:f>Справочники!$D$2:$D$10</xm:f>
          </x14:formula1>
          <x14:formula2>
            <xm:f>0</xm:f>
          </x14:formula2>
          <xm:sqref>D3:D62</xm:sqref>
        </x14:dataValidation>
        <x14:dataValidation type="list" allowBlank="1" error="Выберите из списка" xr:uid="{00000000-0002-0000-0100-000001000000}">
          <x14:formula1>
            <xm:f>Справочники!$C$2:$C$5</xm:f>
          </x14:formula1>
          <x14:formula2>
            <xm:f>0</xm:f>
          </x14:formula2>
          <xm:sqref>E3:E62</xm:sqref>
        </x14:dataValidation>
        <x14:dataValidation type="list" allowBlank="1" error="Выберите из списка" xr:uid="{00000000-0002-0000-0100-000002000000}">
          <x14:formula1>
            <xm:f>Справочники!$B$2:$B$9</xm:f>
          </x14:formula1>
          <x14:formula2>
            <xm:f>0</xm:f>
          </x14:formula2>
          <xm:sqref>F3:F62</xm:sqref>
        </x14:dataValidation>
        <x14:dataValidation type="list" allowBlank="1" error="Выберите из списка" xr:uid="{00000000-0002-0000-0100-000003000000}">
          <x14:formula1>
            <xm:f>Справочники!$A$2:$A$9</xm:f>
          </x14:formula1>
          <x14:formula2>
            <xm:f>0</xm:f>
          </x14:formula2>
          <xm:sqref>G3:G62</xm:sqref>
        </x14:dataValidation>
        <x14:dataValidation type="list" allowBlank="1" error="Выберите из списка" xr:uid="{00000000-0002-0000-0100-000004000000}">
          <x14:formula1>
            <xm:f>Справочники!$E$2:$E$8</xm:f>
          </x14:formula1>
          <x14:formula2>
            <xm:f>0</xm:f>
          </x14:formula2>
          <xm:sqref>H3:H62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2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4" customWidth="1"/>
    <col min="3" max="3" width="12" customWidth="1"/>
    <col min="4" max="4" width="3" customWidth="1"/>
    <col min="5" max="5" width="24" customWidth="1"/>
    <col min="6" max="6" width="12" customWidth="1"/>
  </cols>
  <sheetData>
    <row r="2" spans="2:6" ht="18" x14ac:dyDescent="0.25">
      <c r="B2" s="8" t="s">
        <v>109</v>
      </c>
    </row>
    <row r="3" spans="2:6" x14ac:dyDescent="0.25">
      <c r="B3" s="2" t="s">
        <v>110</v>
      </c>
    </row>
    <row r="5" spans="2:6" ht="15.75" x14ac:dyDescent="0.25">
      <c r="B5" s="5" t="s">
        <v>111</v>
      </c>
      <c r="E5" s="5" t="s">
        <v>112</v>
      </c>
    </row>
    <row r="6" spans="2:6" x14ac:dyDescent="0.25">
      <c r="B6" s="9" t="s">
        <v>36</v>
      </c>
      <c r="C6" s="9" t="s">
        <v>113</v>
      </c>
      <c r="E6" s="9" t="s">
        <v>34</v>
      </c>
      <c r="F6" s="9" t="s">
        <v>113</v>
      </c>
    </row>
    <row r="7" spans="2:6" x14ac:dyDescent="0.25">
      <c r="B7" s="12" t="s">
        <v>114</v>
      </c>
      <c r="C7" s="13">
        <f>COUNTIF('Матрица коммуникаций'!$G$3:$G$62,"Ежедневно")</f>
        <v>0</v>
      </c>
      <c r="E7" s="12" t="s">
        <v>44</v>
      </c>
      <c r="F7" s="13">
        <f>COUNTIF('Матрица коммуникаций'!$E$3:$E$62,"Вверх (руководству)")</f>
        <v>4</v>
      </c>
    </row>
    <row r="8" spans="2:6" x14ac:dyDescent="0.25">
      <c r="B8" s="12" t="s">
        <v>46</v>
      </c>
      <c r="C8" s="13">
        <f>COUNTIF('Матрица коммуникаций'!$G$3:$G$62,"Еженедельно")</f>
        <v>2</v>
      </c>
      <c r="E8" s="12" t="s">
        <v>62</v>
      </c>
      <c r="F8" s="13">
        <f>COUNTIF('Матрица коммуникаций'!$E$3:$E$62,"Горизонтально (команда)")</f>
        <v>3</v>
      </c>
    </row>
    <row r="9" spans="2:6" x14ac:dyDescent="0.25">
      <c r="B9" s="12" t="s">
        <v>115</v>
      </c>
      <c r="C9" s="13">
        <f>COUNTIF('Матрица коммуникаций'!$G$3:$G$62,"Раз в 2 недели")</f>
        <v>0</v>
      </c>
      <c r="E9" s="12" t="s">
        <v>84</v>
      </c>
      <c r="F9" s="13">
        <f>COUNTIF('Матрица коммуникаций'!$E$3:$E$62,"Вниз (пользователям)")</f>
        <v>2</v>
      </c>
    </row>
    <row r="10" spans="2:6" x14ac:dyDescent="0.25">
      <c r="B10" s="12" t="s">
        <v>55</v>
      </c>
      <c r="C10" s="13">
        <f>COUNTIF('Матрица коммуникаций'!$G$3:$G$62,"Ежемесячно")</f>
        <v>2</v>
      </c>
      <c r="E10" s="12" t="s">
        <v>116</v>
      </c>
      <c r="F10" s="13">
        <f>COUNTIF('Матрица коммуникаций'!$E$3:$E$62,"Вовне (внешние)")</f>
        <v>0</v>
      </c>
    </row>
    <row r="11" spans="2:6" x14ac:dyDescent="0.25">
      <c r="B11" s="12" t="s">
        <v>86</v>
      </c>
      <c r="C11" s="13">
        <f>COUNTIF('Матрица коммуникаций'!$G$3:$G$62,"По вехам")</f>
        <v>1</v>
      </c>
    </row>
    <row r="12" spans="2:6" x14ac:dyDescent="0.25">
      <c r="B12" s="12" t="s">
        <v>70</v>
      </c>
      <c r="C12" s="13">
        <f>COUNTIF('Матрица коммуникаций'!$G$3:$G$62,"По событию")</f>
        <v>3</v>
      </c>
    </row>
    <row r="13" spans="2:6" ht="15.75" x14ac:dyDescent="0.25">
      <c r="B13" s="12" t="s">
        <v>106</v>
      </c>
      <c r="C13" s="13">
        <f>COUNTIF('Матрица коммуникаций'!$G$3:$G$62,"Разово")</f>
        <v>1</v>
      </c>
      <c r="E13" s="5" t="s">
        <v>117</v>
      </c>
    </row>
    <row r="14" spans="2:6" x14ac:dyDescent="0.25">
      <c r="B14" s="12" t="s">
        <v>118</v>
      </c>
      <c r="C14" s="13">
        <f>COUNTIF('Матрица коммуникаций'!$G$3:$G$62,"По запросу")</f>
        <v>0</v>
      </c>
      <c r="E14" s="9" t="s">
        <v>35</v>
      </c>
      <c r="F14" s="9" t="s">
        <v>113</v>
      </c>
    </row>
    <row r="15" spans="2:6" x14ac:dyDescent="0.25">
      <c r="B15" s="14" t="s">
        <v>119</v>
      </c>
      <c r="C15" s="15">
        <f>COUNTA('Матрица коммуникаций'!$A$3:$A$62)</f>
        <v>9</v>
      </c>
      <c r="E15" s="12" t="s">
        <v>69</v>
      </c>
      <c r="F15" s="13">
        <f>COUNTIF('Матрица коммуникаций'!$F$3:$F$62,"Встреча (очно)")</f>
        <v>1</v>
      </c>
    </row>
    <row r="16" spans="2:6" x14ac:dyDescent="0.25">
      <c r="E16" s="12" t="s">
        <v>54</v>
      </c>
      <c r="F16" s="13">
        <f>COUNTIF('Матрица коммуникаций'!$F$3:$F$62,"Видеоконференция")</f>
        <v>3</v>
      </c>
    </row>
    <row r="17" spans="5:6" x14ac:dyDescent="0.25">
      <c r="E17" s="12" t="s">
        <v>93</v>
      </c>
      <c r="F17" s="13">
        <f>COUNTIF('Матрица коммуникаций'!$F$3:$F$62,"Эл. почта")</f>
        <v>1</v>
      </c>
    </row>
    <row r="18" spans="5:6" x14ac:dyDescent="0.25">
      <c r="E18" s="12" t="s">
        <v>120</v>
      </c>
      <c r="F18" s="13">
        <f>COUNTIF('Матрица коммуникаций'!$F$3:$F$62,"Мессенджер/чат")</f>
        <v>0</v>
      </c>
    </row>
    <row r="19" spans="5:6" x14ac:dyDescent="0.25">
      <c r="E19" s="12" t="s">
        <v>121</v>
      </c>
      <c r="F19" s="13">
        <f>COUNTIF('Матрица коммуникаций'!$F$3:$F$62,"Портал проекта")</f>
        <v>0</v>
      </c>
    </row>
    <row r="20" spans="5:6" x14ac:dyDescent="0.25">
      <c r="E20" s="12" t="s">
        <v>45</v>
      </c>
      <c r="F20" s="13">
        <f>COUNTIF('Матрица коммуникаций'!$F$3:$F$62,"Система отчётности")</f>
        <v>2</v>
      </c>
    </row>
    <row r="21" spans="5:6" x14ac:dyDescent="0.25">
      <c r="E21" s="12" t="s">
        <v>85</v>
      </c>
      <c r="F21" s="13">
        <f>COUNTIF('Матрица коммуникаций'!$F$3:$F$62,"Рассылка")</f>
        <v>1</v>
      </c>
    </row>
    <row r="22" spans="5:6" x14ac:dyDescent="0.25">
      <c r="E22" s="12" t="s">
        <v>105</v>
      </c>
      <c r="F22" s="13">
        <f>COUNTIF('Матрица коммуникаций'!$F$3:$F$62,"Приказ/распоряжение")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showGridLines="0" zoomScaleNormal="100" workbookViewId="0"/>
  </sheetViews>
  <sheetFormatPr defaultColWidth="8.7109375" defaultRowHeight="15" x14ac:dyDescent="0.25"/>
  <cols>
    <col min="1" max="1" width="24" customWidth="1"/>
    <col min="2" max="2" width="22" customWidth="1"/>
    <col min="3" max="3" width="24" customWidth="1"/>
    <col min="4" max="4" width="26" customWidth="1"/>
    <col min="5" max="5" width="24" customWidth="1"/>
  </cols>
  <sheetData>
    <row r="1" spans="1:5" x14ac:dyDescent="0.25">
      <c r="A1" s="9" t="s">
        <v>36</v>
      </c>
      <c r="B1" s="9" t="s">
        <v>35</v>
      </c>
      <c r="C1" s="9" t="s">
        <v>34</v>
      </c>
      <c r="D1" s="9" t="s">
        <v>122</v>
      </c>
      <c r="E1" s="9" t="s">
        <v>37</v>
      </c>
    </row>
    <row r="2" spans="1:5" x14ac:dyDescent="0.25">
      <c r="A2" s="12" t="s">
        <v>114</v>
      </c>
      <c r="B2" s="12" t="s">
        <v>69</v>
      </c>
      <c r="C2" s="12" t="s">
        <v>44</v>
      </c>
      <c r="D2" s="12" t="s">
        <v>53</v>
      </c>
      <c r="E2" s="12" t="s">
        <v>56</v>
      </c>
    </row>
    <row r="3" spans="1:5" x14ac:dyDescent="0.25">
      <c r="A3" s="12" t="s">
        <v>46</v>
      </c>
      <c r="B3" s="12" t="s">
        <v>54</v>
      </c>
      <c r="C3" s="12" t="s">
        <v>62</v>
      </c>
      <c r="D3" s="12" t="s">
        <v>43</v>
      </c>
      <c r="E3" s="12" t="s">
        <v>47</v>
      </c>
    </row>
    <row r="4" spans="1:5" x14ac:dyDescent="0.25">
      <c r="A4" s="12" t="s">
        <v>115</v>
      </c>
      <c r="B4" s="12" t="s">
        <v>93</v>
      </c>
      <c r="C4" s="12" t="s">
        <v>84</v>
      </c>
      <c r="D4" s="12" t="s">
        <v>61</v>
      </c>
      <c r="E4" s="12" t="s">
        <v>99</v>
      </c>
    </row>
    <row r="5" spans="1:5" x14ac:dyDescent="0.25">
      <c r="A5" s="12" t="s">
        <v>55</v>
      </c>
      <c r="B5" s="12" t="s">
        <v>120</v>
      </c>
      <c r="C5" s="12" t="s">
        <v>116</v>
      </c>
      <c r="D5" s="12" t="s">
        <v>68</v>
      </c>
      <c r="E5" s="12" t="s">
        <v>71</v>
      </c>
    </row>
    <row r="6" spans="1:5" x14ac:dyDescent="0.25">
      <c r="A6" s="12" t="s">
        <v>86</v>
      </c>
      <c r="B6" s="12" t="s">
        <v>121</v>
      </c>
      <c r="D6" s="12" t="s">
        <v>104</v>
      </c>
      <c r="E6" s="12" t="s">
        <v>94</v>
      </c>
    </row>
    <row r="7" spans="1:5" x14ac:dyDescent="0.25">
      <c r="A7" s="12" t="s">
        <v>70</v>
      </c>
      <c r="B7" s="12" t="s">
        <v>45</v>
      </c>
      <c r="D7" s="12" t="s">
        <v>77</v>
      </c>
      <c r="E7" s="12" t="s">
        <v>87</v>
      </c>
    </row>
    <row r="8" spans="1:5" x14ac:dyDescent="0.25">
      <c r="A8" s="12" t="s">
        <v>106</v>
      </c>
      <c r="B8" s="12" t="s">
        <v>85</v>
      </c>
      <c r="D8" s="12" t="s">
        <v>123</v>
      </c>
      <c r="E8" s="12" t="s">
        <v>63</v>
      </c>
    </row>
    <row r="9" spans="1:5" x14ac:dyDescent="0.25">
      <c r="A9" s="12" t="s">
        <v>118</v>
      </c>
      <c r="B9" s="12" t="s">
        <v>105</v>
      </c>
      <c r="D9" s="12" t="s">
        <v>83</v>
      </c>
    </row>
    <row r="10" spans="1:5" x14ac:dyDescent="0.25">
      <c r="D10" s="12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16" t="s">
        <v>125</v>
      </c>
    </row>
    <row r="2" spans="1:4" x14ac:dyDescent="0.25">
      <c r="A2" s="9" t="s">
        <v>126</v>
      </c>
      <c r="B2" s="9" t="s">
        <v>127</v>
      </c>
      <c r="C2" s="9" t="s">
        <v>128</v>
      </c>
      <c r="D2" s="9" t="s">
        <v>129</v>
      </c>
    </row>
    <row r="3" spans="1:4" x14ac:dyDescent="0.25">
      <c r="A3" s="17" t="s">
        <v>130</v>
      </c>
      <c r="B3" s="17" t="s">
        <v>131</v>
      </c>
      <c r="C3" s="17" t="s">
        <v>132</v>
      </c>
      <c r="D3" s="17" t="s">
        <v>133</v>
      </c>
    </row>
    <row r="4" spans="1:4" x14ac:dyDescent="0.25">
      <c r="A4" s="18"/>
      <c r="B4" s="18"/>
      <c r="C4" s="18"/>
      <c r="D4" s="18"/>
    </row>
    <row r="5" spans="1:4" x14ac:dyDescent="0.25">
      <c r="A5" s="18"/>
      <c r="B5" s="18"/>
      <c r="C5" s="18"/>
      <c r="D5" s="18"/>
    </row>
    <row r="6" spans="1:4" x14ac:dyDescent="0.25">
      <c r="A6" s="18"/>
      <c r="B6" s="18"/>
      <c r="C6" s="18"/>
      <c r="D6" s="18"/>
    </row>
    <row r="7" spans="1:4" x14ac:dyDescent="0.25">
      <c r="A7" s="18"/>
      <c r="B7" s="18"/>
      <c r="C7" s="18"/>
      <c r="D7" s="1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Матрица коммуникаций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2026-06-19T07:52:19Z</dcterms:created>
  <dcterms:modified xsi:type="dcterms:W3CDTF">2026-06-19T07:54:02Z</dcterms:modified>
  <dc:language>en-US</dc:language>
</cp:coreProperties>
</file>