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FA2F2BAA-4DB8-45FC-8970-704B2E3F6198}" xr6:coauthVersionLast="47" xr6:coauthVersionMax="47" xr10:uidLastSave="{00000000-0000-0000-0000-000000000000}"/>
  <bookViews>
    <workbookView xWindow="14910" yWindow="2115" windowWidth="25860" windowHeight="16530" tabRatio="500" activeTab="1" xr2:uid="{00000000-000D-0000-FFFF-FFFF00000000}"/>
  </bookViews>
  <sheets>
    <sheet name="Инструкция" sheetId="1" r:id="rId1"/>
    <sheet name="Реестр доработок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доработок'!$A$2:$Q$202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3" l="1"/>
  <c r="C21" i="3"/>
  <c r="C20" i="3"/>
  <c r="C19" i="3"/>
  <c r="F17" i="3"/>
  <c r="F16" i="3"/>
  <c r="F15" i="3"/>
  <c r="C15" i="3"/>
  <c r="F14" i="3"/>
  <c r="C14" i="3"/>
  <c r="F13" i="3"/>
  <c r="C13" i="3"/>
  <c r="C12" i="3"/>
  <c r="C11" i="3"/>
  <c r="C10" i="3"/>
  <c r="C9" i="3"/>
  <c r="F8" i="3"/>
  <c r="C8" i="3"/>
  <c r="F7" i="3"/>
  <c r="C7" i="3"/>
  <c r="F6" i="3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100-000001000000}">
      <text>
        <r>
          <rPr>
            <sz val="10"/>
            <rFont val="Arial"/>
            <family val="2"/>
          </rPr>
          <t>Приоритет — расширения конфигурации ради обновляемости.</t>
        </r>
      </text>
    </comment>
    <comment ref="O2" authorId="0" shapeId="0" xr:uid="{00000000-0006-0000-0100-000002000000}">
      <text>
        <r>
          <rPr>
            <sz val="10"/>
            <rFont val="Arial"/>
            <family val="2"/>
          </rPr>
          <t>Авто по статусу: Предложена 0 → Оценена 10% → Утверждена 20% → В разработке 50% → На тесте 80% → Готова 100%.</t>
        </r>
      </text>
    </comment>
  </commentList>
</comments>
</file>

<file path=xl/sharedStrings.xml><?xml version="1.0" encoding="utf-8"?>
<sst xmlns="http://schemas.openxmlformats.org/spreadsheetml/2006/main" count="206" uniqueCount="142">
  <si>
    <t>РЕЕСТР ДОРАБОТОК КОНФИГУРАЦИИ</t>
  </si>
  <si>
    <t>Development Backlog — учёт доработок 1С на проекте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</si>
  <si>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</si>
  <si>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</si>
  <si>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</si>
  <si>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</si>
  <si>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</si>
  <si>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</si>
  <si>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</si>
  <si>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</si>
  <si>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</si>
  <si>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[Архитектор решения / РП]</t>
  </si>
  <si>
    <t>Назначение</t>
  </si>
  <si>
    <t>Реестр (backlog) учитывает все доработки конфигурации 1С: от обоснования (gap) и связи с требованием до реализации и тестирования. Отслеживает оценку трудозатрат, способ реализации и влияние на обновляемость. Замыкает цепочку: gap-анализ → ЧТЗ на доработку → разработка → тест (RTM).</t>
  </si>
  <si>
    <t>Принцип доработок</t>
  </si>
  <si>
    <t>•  Приоритет — типовой функционал 1С; доработка только при обоснованном gap.</t>
  </si>
  <si>
    <t>•  Предпочтение — расширения конфигурации (минимум изменений типовых объектов) ради обновляемости.</t>
  </si>
  <si>
    <t>•  Поле «Влияние на обновление» отмечает доработки, усложняющие обновление типовой конфигурации.</t>
  </si>
  <si>
    <t>Состав листов</t>
  </si>
  <si>
    <t>Реестр доработок</t>
  </si>
  <si>
    <t>Основной backlog. Одна строка — одна доработка.</t>
  </si>
  <si>
    <t>Сводка</t>
  </si>
  <si>
    <t>Аналитика по статусам, приоритету, трудозатратам, способу реализации.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</si>
  <si>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</si>
  <si>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</si>
  <si>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</si>
  <si>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</si>
  <si>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</si>
  <si>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ID доработки: DEV-NNN. Связывайте с требованием (REQ ID) и ЧТЗ — трассировка в RTM.</t>
  </si>
  <si>
    <t>•  Оценка трудозатрат (чел.-ч) и факт — для контроля и планирования.</t>
  </si>
  <si>
    <t>•  Способ реализации: расширение / изменение типового / новый объект / внешняя обработка.</t>
  </si>
  <si>
    <t>•  Статус ведите по жизненному циклу: Предложена → Оценена → В разработке → На тесте → Готова → Отклонена.</t>
  </si>
  <si>
    <t>•  Поле «% выполнения» считается по статусу автоматически (ориентир для прогресса).</t>
  </si>
  <si>
    <t>Реестр доработок конфигурации</t>
  </si>
  <si>
    <t>DEV ID</t>
  </si>
  <si>
    <t>Наименование доработки</t>
  </si>
  <si>
    <t>Подсистема</t>
  </si>
  <si>
    <t>Связ. требование (REQ)</t>
  </si>
  <si>
    <t>ЧТЗ</t>
  </si>
  <si>
    <t>Обоснование (gap)</t>
  </si>
  <si>
    <t>Тип объекта</t>
  </si>
  <si>
    <t>Способ реализации</t>
  </si>
  <si>
    <t>Влияние на обновление</t>
  </si>
  <si>
    <t>Приоритет</t>
  </si>
  <si>
    <t>Оценка (чел.-ч)</t>
  </si>
  <si>
    <t>Факт (чел.-ч)</t>
  </si>
  <si>
    <t>Разработчик</t>
  </si>
  <si>
    <t>Статус</t>
  </si>
  <si>
    <t>% вып.</t>
  </si>
  <si>
    <t>Волна</t>
  </si>
  <si>
    <t>Примечание</t>
  </si>
  <si>
    <t>DEV-001</t>
  </si>
  <si>
    <t>Расчёт фактической себестоимости по доработанному алгоритму</t>
  </si>
  <si>
    <t>Производство</t>
  </si>
  <si>
    <t>REQ-002</t>
  </si>
  <si>
    <t>ЧТЗ-04</t>
  </si>
  <si>
    <t>Типовой расчёт не учитывает специфику переделов</t>
  </si>
  <si>
    <t>Общий модуль</t>
  </si>
  <si>
    <t>Изменение типового объекта</t>
  </si>
  <si>
    <t>Среднее</t>
  </si>
  <si>
    <t>Must</t>
  </si>
  <si>
    <t>[Р1]</t>
  </si>
  <si>
    <t>В разработке</t>
  </si>
  <si>
    <t>1</t>
  </si>
  <si>
    <t>Связано с CR-002</t>
  </si>
  <si>
    <t>DEV-002</t>
  </si>
  <si>
    <t>Доп. реквизиты договора для консолидации</t>
  </si>
  <si>
    <t>Консолидация (1С:УХ)</t>
  </si>
  <si>
    <t>REQ-001</t>
  </si>
  <si>
    <t>ЧТЗ-03</t>
  </si>
  <si>
    <t>Нет нужных аналитик для холдинговой отчётности</t>
  </si>
  <si>
    <t>Справочник</t>
  </si>
  <si>
    <t>Расширение конфигурации</t>
  </si>
  <si>
    <t>Низкое</t>
  </si>
  <si>
    <t>[Р2]</t>
  </si>
  <si>
    <t>Оценена</t>
  </si>
  <si>
    <t>DEV-003</t>
  </si>
  <si>
    <t>Печатная форма акта по корпоративному шаблону</t>
  </si>
  <si>
    <t>Продажи</t>
  </si>
  <si>
    <t>REQ-…</t>
  </si>
  <si>
    <t>ЧТЗ-06</t>
  </si>
  <si>
    <t>Требуется фирменный бланк холдинга</t>
  </si>
  <si>
    <t>Печатная форма</t>
  </si>
  <si>
    <t>Внешняя обработка/отчёт</t>
  </si>
  <si>
    <t>Нет</t>
  </si>
  <si>
    <t>Should</t>
  </si>
  <si>
    <t>Предложена</t>
  </si>
  <si>
    <t>2</t>
  </si>
  <si>
    <t>DEV-004</t>
  </si>
  <si>
    <t>Отчёт по план-факту производства</t>
  </si>
  <si>
    <t>Нет типового отчёта в нужном разрезе</t>
  </si>
  <si>
    <t>Отчёт</t>
  </si>
  <si>
    <t>Новый объект</t>
  </si>
  <si>
    <t>Готова</t>
  </si>
  <si>
    <t>DEV-005</t>
  </si>
  <si>
    <t>Доработка ролей под оргструктуру холдинга</t>
  </si>
  <si>
    <t>Общесистемное</t>
  </si>
  <si>
    <t>ЧТЗ-09</t>
  </si>
  <si>
    <t>Типовые роли не покрывают разграничение по юрлицам</t>
  </si>
  <si>
    <t>Роль/права</t>
  </si>
  <si>
    <t>Настройка (без кода)</t>
  </si>
  <si>
    <t>[Адм]</t>
  </si>
  <si>
    <t>На тесте</t>
  </si>
  <si>
    <t>Сводка по доработкам</t>
  </si>
  <si>
    <t>Считается автоматически по листу «Реестр доработок».</t>
  </si>
  <si>
    <t>По статусу</t>
  </si>
  <si>
    <t>Трудозатраты (чел.-ч)</t>
  </si>
  <si>
    <t>Кол-во</t>
  </si>
  <si>
    <t>Оценка, всего</t>
  </si>
  <si>
    <t>Факт, всего</t>
  </si>
  <si>
    <t>Отклонение (факт−оценка)</t>
  </si>
  <si>
    <t>Утверждена</t>
  </si>
  <si>
    <t>По способу реализации</t>
  </si>
  <si>
    <t>Способ</t>
  </si>
  <si>
    <t>Отклонена</t>
  </si>
  <si>
    <t>Отложена</t>
  </si>
  <si>
    <t>Всего доработок</t>
  </si>
  <si>
    <t>По приоритету (MoSCoW)</t>
  </si>
  <si>
    <t>Could</t>
  </si>
  <si>
    <t>Won't (этой волны)</t>
  </si>
  <si>
    <t>Приоритет (MoSCoW)</t>
  </si>
  <si>
    <t>Финансы и казначейство</t>
  </si>
  <si>
    <t>Регламентированный учёт</t>
  </si>
  <si>
    <t>Документ</t>
  </si>
  <si>
    <t>Регистр сведений</t>
  </si>
  <si>
    <t>Регистр накопления</t>
  </si>
  <si>
    <t>Высокое</t>
  </si>
  <si>
    <t>Закупки/склад</t>
  </si>
  <si>
    <t>Обработка</t>
  </si>
  <si>
    <t>HR/ЗП</t>
  </si>
  <si>
    <t>НСИ</t>
  </si>
  <si>
    <t>Интеграции</t>
  </si>
  <si>
    <t>План видов расчёта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</si>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</sst>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sz val="10"/>
      <name val="Arial"/>
      <family val="2"/>
    </font>
    <font>
      <b/>
      <sz val="11"/>
      <color rgb="FF1F4E79"/>
      <name val="Arial"/>
      <charset val="1"/>
    </font>
    <font>
      <b/>
      <sz val="11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9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/>
    <xf numFmtId="0" fontId="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 applyAlignment="1"/>
    <xf numFmtId="0" fontId="9" fillId="0" borderId="1" xfId="0" applyFont="1" applyBorder="1" applyAlignment="1"/>
    <xf numFmtId="0" fontId="14" fillId="0" borderId="1" xfId="0" applyFont="1" applyBorder="1" applyAlignment="1"/>
  </cellXfs>
  <cellStyles count="1">
    <cellStyle name="Обычный" xfId="0" builtinId="0"/>
  </cellStyles>
  <dxfs count="4">
    <dxf>
      <font>
        <color rgb="FF808080"/>
      </font>
      <fill>
        <patternFill>
          <bgColor rgb="FFD9D9D9"/>
        </patternFill>
      </fill>
    </dxf>
    <dxf>
      <font>
        <b/>
        <color rgb="FF375623"/>
      </font>
      <fill>
        <patternFill>
          <bgColor rgb="FFC6E0B4"/>
        </patternFill>
      </fill>
    </dxf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0"/>
  <sheetViews>
    <sheetView showGridLines="0" zoomScaleNormal="100" workbookViewId="0">
      <selection activeCell="H14" sqref="H14"/>
    </sheetView>
  </sheetViews>
  <sheetFormatPr defaultColWidth="8.7109375" defaultRowHeight="15" x14ac:dyDescent="0.25"/>
  <cols>
    <col min="1" max="1" width="3" style="1" customWidth="1"/>
    <col min="2" max="2" width="32" style="1" customWidth="1"/>
    <col min="3" max="3" width="95" style="1" customWidth="1"/>
  </cols>
  <sheetData>
    <row r="2" spans="2:3" ht="19.5" customHeight="1" x14ac:dyDescent="0.3">
      <c r="B2" s="2" t="s">
        <v>0</v>
      </c>
    </row>
    <row r="3" spans="2:3" ht="15" customHeight="1" x14ac:dyDescent="0.25">
      <c r="B3" s="3" t="s">
        <v>1</v>
      </c>
    </row>
    <row r="5" spans="2:3" ht="15" customHeight="1" x14ac:dyDescent="0.25">
      <c r="B5" s="4" t="s">
        <v>2</v>
      </c>
      <c r="C5" s="5" t="s">
        <v>3</v>
      </c>
    </row>
    <row r="6" spans="2:3" ht="15" customHeight="1" x14ac:dyDescent="0.25">
      <c r="B6" s="4" t="s">
        <v>4</v>
      </c>
      <c r="C6" s="5" t="s">
        <v>5</v>
      </c>
    </row>
    <row r="7" spans="2:3" ht="15" customHeight="1" x14ac:dyDescent="0.25">
      <c r="B7" s="4" t="s">
        <v>6</v>
      </c>
      <c r="C7" s="5" t="s">
        <v>7</v>
      </c>
    </row>
    <row r="8" spans="2:3" ht="15" customHeight="1" x14ac:dyDescent="0.25">
      <c r="B8" s="4" t="s">
        <v>8</v>
      </c>
      <c r="C8" s="5" t="s">
        <v>9</v>
      </c>
    </row>
    <row r="9" spans="2:3" ht="15" customHeight="1" x14ac:dyDescent="0.25">
      <c r="B9" s="4" t="s">
        <v>10</v>
      </c>
      <c r="C9" s="5" t="s">
        <v>11</v>
      </c>
    </row>
    <row r="11" spans="2:3" ht="15" customHeight="1" x14ac:dyDescent="0.25">
      <c r="B11" s="6" t="s">
        <v>12</v>
      </c>
    </row>
    <row r="12" spans="2:3" ht="55.5" customHeight="1" x14ac:dyDescent="0.25">
      <c r="C12" s="7" t="s">
        <v>13</v>
      </c>
    </row>
    <row r="14" spans="2:3" ht="15" customHeight="1" x14ac:dyDescent="0.25">
      <c r="B14" s="6" t="s">
        <v>14</v>
      </c>
    </row>
    <row r="15" spans="2:3" ht="25.5" customHeight="1" x14ac:dyDescent="0.25">
      <c r="C15" s="8" t="s">
        <v>15</v>
      </c>
    </row>
    <row r="16" spans="2:3" ht="25.5" customHeight="1" x14ac:dyDescent="0.25">
      <c r="C16" s="8" t="s">
        <v>16</v>
      </c>
    </row>
    <row r="17" spans="2:3" ht="25.5" customHeight="1" x14ac:dyDescent="0.25">
      <c r="C17" s="8" t="s">
        <v>17</v>
      </c>
    </row>
    <row r="19" spans="2:3" ht="15" customHeight="1" x14ac:dyDescent="0.25">
      <c r="B19" s="6" t="s">
        <v>18</v>
      </c>
    </row>
    <row r="20" spans="2:3" ht="15" customHeight="1" x14ac:dyDescent="0.25">
      <c r="B20" s="4" t="s">
        <v>19</v>
      </c>
      <c r="C20" s="8" t="s">
        <v>20</v>
      </c>
    </row>
    <row r="21" spans="2:3" ht="15" customHeight="1" x14ac:dyDescent="0.25">
      <c r="B21" s="4" t="s">
        <v>21</v>
      </c>
      <c r="C21" s="8" t="s">
        <v>22</v>
      </c>
    </row>
    <row r="22" spans="2:3" ht="15" customHeight="1" x14ac:dyDescent="0.25">
      <c r="B22" s="4" t="s">
        <v>23</v>
      </c>
      <c r="C22" s="8" t="s">
        <v>24</v>
      </c>
    </row>
    <row r="23" spans="2:3" ht="15" customHeight="1" x14ac:dyDescent="0.25">
      <c r="B23" s="4" t="s">
        <v>25</v>
      </c>
      <c r="C23" s="8" t="s">
        <v>26</v>
      </c>
    </row>
    <row r="25" spans="2:3" ht="15" customHeight="1" x14ac:dyDescent="0.25">
      <c r="B25" s="6" t="s">
        <v>27</v>
      </c>
    </row>
    <row r="26" spans="2:3" ht="27.75" customHeight="1" x14ac:dyDescent="0.25">
      <c r="C26" s="8" t="s">
        <v>28</v>
      </c>
    </row>
    <row r="27" spans="2:3" ht="27.75" customHeight="1" x14ac:dyDescent="0.25">
      <c r="C27" s="8" t="s">
        <v>29</v>
      </c>
    </row>
    <row r="28" spans="2:3" ht="27.75" customHeight="1" x14ac:dyDescent="0.25">
      <c r="C28" s="8" t="s">
        <v>30</v>
      </c>
    </row>
    <row r="29" spans="2:3" ht="27.75" customHeight="1" x14ac:dyDescent="0.25">
      <c r="C29" s="8" t="s">
        <v>31</v>
      </c>
    </row>
    <row r="30" spans="2:3" ht="27.75" customHeight="1" x14ac:dyDescent="0.25">
      <c r="C30" s="8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8.7109375" defaultRowHeight="15" x14ac:dyDescent="0.25"/>
  <cols>
    <col min="1" max="1" width="9" style="1" customWidth="1"/>
    <col min="2" max="2" width="34" style="1" customWidth="1"/>
    <col min="3" max="3" width="18" style="1" customWidth="1"/>
    <col min="4" max="4" width="16" style="1" customWidth="1"/>
    <col min="5" max="5" width="11" style="1" customWidth="1"/>
    <col min="6" max="6" width="26" style="1" customWidth="1"/>
    <col min="7" max="7" width="16" style="1" customWidth="1"/>
    <col min="8" max="8" width="20" style="1" customWidth="1"/>
    <col min="9" max="9" width="16" style="1" customWidth="1"/>
    <col min="10" max="10" width="13" style="1" customWidth="1"/>
    <col min="11" max="12" width="12" style="1" customWidth="1"/>
    <col min="13" max="13" width="16" style="1" customWidth="1"/>
    <col min="14" max="14" width="15" style="1" customWidth="1"/>
    <col min="15" max="15" width="9" style="1" customWidth="1"/>
    <col min="16" max="16" width="10" style="1" customWidth="1"/>
    <col min="17" max="17" width="22" style="1" customWidth="1"/>
  </cols>
  <sheetData>
    <row r="1" spans="1:17" ht="17.25" customHeight="1" x14ac:dyDescent="0.25">
      <c r="A1" s="9" t="s">
        <v>33</v>
      </c>
    </row>
    <row r="2" spans="1:17" ht="39.75" customHeight="1" x14ac:dyDescent="0.25">
      <c r="A2" s="10" t="s">
        <v>34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40</v>
      </c>
      <c r="H2" s="10" t="s">
        <v>41</v>
      </c>
      <c r="I2" s="10" t="s">
        <v>42</v>
      </c>
      <c r="J2" s="10" t="s">
        <v>43</v>
      </c>
      <c r="K2" s="10" t="s">
        <v>44</v>
      </c>
      <c r="L2" s="10" t="s">
        <v>45</v>
      </c>
      <c r="M2" s="10" t="s">
        <v>46</v>
      </c>
      <c r="N2" s="10" t="s">
        <v>47</v>
      </c>
      <c r="O2" s="10" t="s">
        <v>48</v>
      </c>
      <c r="P2" s="10" t="s">
        <v>49</v>
      </c>
      <c r="Q2" s="10" t="s">
        <v>50</v>
      </c>
    </row>
    <row r="3" spans="1:17" ht="34.5" customHeight="1" x14ac:dyDescent="0.25">
      <c r="A3" s="11" t="s">
        <v>51</v>
      </c>
      <c r="B3" s="11" t="s">
        <v>52</v>
      </c>
      <c r="C3" s="11" t="s">
        <v>53</v>
      </c>
      <c r="D3" s="11" t="s">
        <v>54</v>
      </c>
      <c r="E3" s="11" t="s">
        <v>55</v>
      </c>
      <c r="F3" s="11" t="s">
        <v>56</v>
      </c>
      <c r="G3" s="11" t="s">
        <v>57</v>
      </c>
      <c r="H3" s="11" t="s">
        <v>58</v>
      </c>
      <c r="I3" s="11" t="s">
        <v>59</v>
      </c>
      <c r="J3" s="11" t="s">
        <v>60</v>
      </c>
      <c r="K3" s="11">
        <v>120</v>
      </c>
      <c r="L3" s="11"/>
      <c r="M3" s="11" t="s">
        <v>61</v>
      </c>
      <c r="N3" s="11" t="s">
        <v>62</v>
      </c>
      <c r="O3" s="12">
        <f t="shared" ref="O3:O34" si="0">IF(A3="","",IF(N3="Готова",1,IF(N3="На тесте",0.8,IF(N3="В разработке",0.5,IF(N3="Утверждена",0.2,IF(N3="Оценена",0.1,IF(N3="Предложена",0,IF(N3="Отклонена",0,IF(N3="Отложена",0,"")))))))))</f>
        <v>0.5</v>
      </c>
      <c r="P3" s="11" t="s">
        <v>63</v>
      </c>
      <c r="Q3" s="11" t="s">
        <v>64</v>
      </c>
    </row>
    <row r="4" spans="1:17" ht="23.25" customHeight="1" x14ac:dyDescent="0.25">
      <c r="A4" s="11" t="s">
        <v>65</v>
      </c>
      <c r="B4" s="11" t="s">
        <v>66</v>
      </c>
      <c r="C4" s="11" t="s">
        <v>67</v>
      </c>
      <c r="D4" s="11" t="s">
        <v>68</v>
      </c>
      <c r="E4" s="11" t="s">
        <v>69</v>
      </c>
      <c r="F4" s="11" t="s">
        <v>70</v>
      </c>
      <c r="G4" s="11" t="s">
        <v>71</v>
      </c>
      <c r="H4" s="11" t="s">
        <v>72</v>
      </c>
      <c r="I4" s="11" t="s">
        <v>73</v>
      </c>
      <c r="J4" s="11" t="s">
        <v>60</v>
      </c>
      <c r="K4" s="11">
        <v>40</v>
      </c>
      <c r="L4" s="11"/>
      <c r="M4" s="11" t="s">
        <v>74</v>
      </c>
      <c r="N4" s="11" t="s">
        <v>75</v>
      </c>
      <c r="O4" s="12">
        <f t="shared" si="0"/>
        <v>0.1</v>
      </c>
      <c r="P4" s="11" t="s">
        <v>63</v>
      </c>
      <c r="Q4" s="11"/>
    </row>
    <row r="5" spans="1:17" ht="23.25" customHeight="1" x14ac:dyDescent="0.25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81</v>
      </c>
      <c r="G5" s="11" t="s">
        <v>82</v>
      </c>
      <c r="H5" s="11" t="s">
        <v>83</v>
      </c>
      <c r="I5" s="11" t="s">
        <v>84</v>
      </c>
      <c r="J5" s="11" t="s">
        <v>85</v>
      </c>
      <c r="K5" s="11">
        <v>24</v>
      </c>
      <c r="L5" s="11"/>
      <c r="M5" s="11" t="s">
        <v>74</v>
      </c>
      <c r="N5" s="11" t="s">
        <v>86</v>
      </c>
      <c r="O5" s="12">
        <f t="shared" si="0"/>
        <v>0</v>
      </c>
      <c r="P5" s="11" t="s">
        <v>87</v>
      </c>
      <c r="Q5" s="11"/>
    </row>
    <row r="6" spans="1:17" ht="23.25" customHeight="1" x14ac:dyDescent="0.25">
      <c r="A6" s="11" t="s">
        <v>88</v>
      </c>
      <c r="B6" s="11" t="s">
        <v>89</v>
      </c>
      <c r="C6" s="11" t="s">
        <v>53</v>
      </c>
      <c r="D6" s="11" t="s">
        <v>79</v>
      </c>
      <c r="E6" s="11" t="s">
        <v>55</v>
      </c>
      <c r="F6" s="11" t="s">
        <v>90</v>
      </c>
      <c r="G6" s="11" t="s">
        <v>91</v>
      </c>
      <c r="H6" s="11" t="s">
        <v>92</v>
      </c>
      <c r="I6" s="11" t="s">
        <v>84</v>
      </c>
      <c r="J6" s="11" t="s">
        <v>85</v>
      </c>
      <c r="K6" s="11">
        <v>32</v>
      </c>
      <c r="L6" s="11"/>
      <c r="M6" s="11" t="s">
        <v>61</v>
      </c>
      <c r="N6" s="11" t="s">
        <v>93</v>
      </c>
      <c r="O6" s="12">
        <f t="shared" si="0"/>
        <v>1</v>
      </c>
      <c r="P6" s="11" t="s">
        <v>63</v>
      </c>
      <c r="Q6" s="11"/>
    </row>
    <row r="7" spans="1:17" ht="23.25" customHeight="1" x14ac:dyDescent="0.25">
      <c r="A7" s="11" t="s">
        <v>94</v>
      </c>
      <c r="B7" s="11" t="s">
        <v>95</v>
      </c>
      <c r="C7" s="11" t="s">
        <v>96</v>
      </c>
      <c r="D7" s="11" t="s">
        <v>79</v>
      </c>
      <c r="E7" s="11" t="s">
        <v>97</v>
      </c>
      <c r="F7" s="11" t="s">
        <v>98</v>
      </c>
      <c r="G7" s="11" t="s">
        <v>99</v>
      </c>
      <c r="H7" s="11" t="s">
        <v>100</v>
      </c>
      <c r="I7" s="11" t="s">
        <v>84</v>
      </c>
      <c r="J7" s="11" t="s">
        <v>60</v>
      </c>
      <c r="K7" s="11">
        <v>16</v>
      </c>
      <c r="L7" s="11"/>
      <c r="M7" s="11" t="s">
        <v>101</v>
      </c>
      <c r="N7" s="11" t="s">
        <v>102</v>
      </c>
      <c r="O7" s="12">
        <f t="shared" si="0"/>
        <v>0.8</v>
      </c>
      <c r="P7" s="11" t="s">
        <v>63</v>
      </c>
      <c r="Q7" s="11"/>
    </row>
    <row r="8" spans="1:17" ht="1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0"/>
        <v/>
      </c>
      <c r="P8" s="13"/>
      <c r="Q8" s="13"/>
    </row>
    <row r="9" spans="1:17" ht="1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0"/>
        <v/>
      </c>
      <c r="P9" s="13"/>
      <c r="Q9" s="13"/>
    </row>
    <row r="10" spans="1:17" ht="1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0"/>
        <v/>
      </c>
      <c r="P10" s="13"/>
      <c r="Q10" s="13"/>
    </row>
    <row r="11" spans="1:17" ht="1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0"/>
        <v/>
      </c>
      <c r="P11" s="13"/>
      <c r="Q11" s="13"/>
    </row>
    <row r="12" spans="1:17" ht="1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0"/>
        <v/>
      </c>
      <c r="P12" s="13"/>
      <c r="Q12" s="13"/>
    </row>
    <row r="13" spans="1:17" ht="1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0"/>
        <v/>
      </c>
      <c r="P13" s="13"/>
      <c r="Q13" s="13"/>
    </row>
    <row r="14" spans="1:17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0"/>
        <v/>
      </c>
      <c r="P14" s="13"/>
      <c r="Q14" s="13"/>
    </row>
    <row r="15" spans="1:17" ht="1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0"/>
        <v/>
      </c>
      <c r="P15" s="13"/>
      <c r="Q15" s="13"/>
    </row>
    <row r="16" spans="1:17" ht="1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0"/>
        <v/>
      </c>
      <c r="P16" s="13"/>
      <c r="Q16" s="13"/>
    </row>
    <row r="17" spans="1:17" ht="1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0"/>
        <v/>
      </c>
      <c r="P17" s="13"/>
      <c r="Q17" s="13"/>
    </row>
    <row r="18" spans="1:17" ht="1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0"/>
        <v/>
      </c>
      <c r="P18" s="13"/>
      <c r="Q18" s="13"/>
    </row>
    <row r="19" spans="1:17" ht="1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0"/>
        <v/>
      </c>
      <c r="P19" s="13"/>
      <c r="Q19" s="13"/>
    </row>
    <row r="20" spans="1:17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0"/>
        <v/>
      </c>
      <c r="P20" s="13"/>
      <c r="Q20" s="13"/>
    </row>
    <row r="21" spans="1:17" ht="1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0"/>
        <v/>
      </c>
      <c r="P21" s="13"/>
      <c r="Q21" s="13"/>
    </row>
    <row r="22" spans="1:17" ht="1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0"/>
        <v/>
      </c>
      <c r="P22" s="13"/>
      <c r="Q22" s="13"/>
    </row>
    <row r="23" spans="1:17" ht="1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0"/>
        <v/>
      </c>
      <c r="P23" s="13"/>
      <c r="Q23" s="13"/>
    </row>
    <row r="24" spans="1:17" ht="1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0"/>
        <v/>
      </c>
      <c r="P24" s="13"/>
      <c r="Q24" s="13"/>
    </row>
    <row r="25" spans="1:17" ht="1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0"/>
        <v/>
      </c>
      <c r="P25" s="13"/>
      <c r="Q25" s="13"/>
    </row>
    <row r="26" spans="1:17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0"/>
        <v/>
      </c>
      <c r="P26" s="13"/>
      <c r="Q26" s="13"/>
    </row>
    <row r="27" spans="1:17" ht="1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0"/>
        <v/>
      </c>
      <c r="P27" s="13"/>
      <c r="Q27" s="13"/>
    </row>
    <row r="28" spans="1:17" ht="1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0"/>
        <v/>
      </c>
      <c r="P28" s="13"/>
      <c r="Q28" s="13"/>
    </row>
    <row r="29" spans="1:17" ht="1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0"/>
        <v/>
      </c>
      <c r="P29" s="13"/>
      <c r="Q29" s="13"/>
    </row>
    <row r="30" spans="1:17" ht="1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0"/>
        <v/>
      </c>
      <c r="P30" s="13"/>
      <c r="Q30" s="13"/>
    </row>
    <row r="31" spans="1:17" ht="1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0"/>
        <v/>
      </c>
      <c r="P31" s="13"/>
      <c r="Q31" s="13"/>
    </row>
    <row r="32" spans="1:17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0"/>
        <v/>
      </c>
      <c r="P32" s="13"/>
      <c r="Q32" s="13"/>
    </row>
    <row r="33" spans="1:17" ht="1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0"/>
        <v/>
      </c>
      <c r="P33" s="13"/>
      <c r="Q33" s="13"/>
    </row>
    <row r="34" spans="1:17" ht="1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0"/>
        <v/>
      </c>
      <c r="P34" s="13"/>
      <c r="Q34" s="13"/>
    </row>
    <row r="35" spans="1:17" ht="1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ref="O35:O66" si="1">IF(A35="","",IF(N35="Готова",1,IF(N35="На тесте",0.8,IF(N35="В разработке",0.5,IF(N35="Утверждена",0.2,IF(N35="Оценена",0.1,IF(N35="Предложена",0,IF(N35="Отклонена",0,IF(N35="Отложена",0,"")))))))))</f>
        <v/>
      </c>
      <c r="P35" s="13"/>
      <c r="Q35" s="13"/>
    </row>
    <row r="36" spans="1:17" ht="1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/>
      </c>
      <c r="P36" s="13"/>
      <c r="Q36" s="13"/>
    </row>
    <row r="37" spans="1:17" ht="1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2" t="str">
        <f t="shared" si="1"/>
        <v/>
      </c>
      <c r="P37" s="13"/>
      <c r="Q37" s="13"/>
    </row>
    <row r="38" spans="1:17" ht="1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2" t="str">
        <f t="shared" si="1"/>
        <v/>
      </c>
      <c r="P38" s="13"/>
      <c r="Q38" s="13"/>
    </row>
    <row r="39" spans="1:17" ht="1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 t="str">
        <f t="shared" si="1"/>
        <v/>
      </c>
      <c r="P39" s="13"/>
      <c r="Q39" s="13"/>
    </row>
    <row r="40" spans="1:17" ht="1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 t="str">
        <f t="shared" si="1"/>
        <v/>
      </c>
      <c r="P40" s="13"/>
      <c r="Q40" s="13"/>
    </row>
    <row r="41" spans="1:17" ht="1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2" t="str">
        <f t="shared" si="1"/>
        <v/>
      </c>
      <c r="P41" s="13"/>
      <c r="Q41" s="13"/>
    </row>
    <row r="42" spans="1:17" ht="1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2" t="str">
        <f t="shared" si="1"/>
        <v/>
      </c>
      <c r="P42" s="13"/>
      <c r="Q42" s="13"/>
    </row>
    <row r="43" spans="1:17" ht="1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2" t="str">
        <f t="shared" si="1"/>
        <v/>
      </c>
      <c r="P43" s="13"/>
      <c r="Q43" s="13"/>
    </row>
    <row r="44" spans="1:17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2" t="str">
        <f t="shared" si="1"/>
        <v/>
      </c>
      <c r="P44" s="13"/>
      <c r="Q44" s="13"/>
    </row>
    <row r="45" spans="1:17" ht="1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2" t="str">
        <f t="shared" si="1"/>
        <v/>
      </c>
      <c r="P45" s="13"/>
      <c r="Q45" s="13"/>
    </row>
    <row r="46" spans="1:17" ht="1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2" t="str">
        <f t="shared" si="1"/>
        <v/>
      </c>
      <c r="P46" s="13"/>
      <c r="Q46" s="13"/>
    </row>
    <row r="47" spans="1:17" ht="1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2" t="str">
        <f t="shared" si="1"/>
        <v/>
      </c>
      <c r="P47" s="13"/>
      <c r="Q47" s="13"/>
    </row>
    <row r="48" spans="1:17" ht="1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2" t="str">
        <f t="shared" si="1"/>
        <v/>
      </c>
      <c r="P48" s="13"/>
      <c r="Q48" s="13"/>
    </row>
    <row r="49" spans="1:17" ht="1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2" t="str">
        <f t="shared" si="1"/>
        <v/>
      </c>
      <c r="P49" s="13"/>
      <c r="Q49" s="13"/>
    </row>
    <row r="50" spans="1:17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2" t="str">
        <f t="shared" si="1"/>
        <v/>
      </c>
      <c r="P50" s="13"/>
      <c r="Q50" s="13"/>
    </row>
    <row r="51" spans="1:17" ht="1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2" t="str">
        <f t="shared" si="1"/>
        <v/>
      </c>
      <c r="P51" s="13"/>
      <c r="Q51" s="13"/>
    </row>
    <row r="52" spans="1:17" ht="1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2" t="str">
        <f t="shared" si="1"/>
        <v/>
      </c>
      <c r="P52" s="13"/>
      <c r="Q52" s="13"/>
    </row>
    <row r="53" spans="1:17" ht="1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2" t="str">
        <f t="shared" si="1"/>
        <v/>
      </c>
      <c r="P53" s="13"/>
      <c r="Q53" s="13"/>
    </row>
    <row r="54" spans="1:17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2" t="str">
        <f t="shared" si="1"/>
        <v/>
      </c>
      <c r="P54" s="13"/>
      <c r="Q54" s="13"/>
    </row>
    <row r="55" spans="1:17" ht="1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2" t="str">
        <f t="shared" si="1"/>
        <v/>
      </c>
      <c r="P55" s="13"/>
      <c r="Q55" s="13"/>
    </row>
    <row r="56" spans="1:17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2" t="str">
        <f t="shared" si="1"/>
        <v/>
      </c>
      <c r="P56" s="13"/>
      <c r="Q56" s="13"/>
    </row>
    <row r="57" spans="1:17" ht="1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2" t="str">
        <f t="shared" si="1"/>
        <v/>
      </c>
      <c r="P57" s="13"/>
      <c r="Q57" s="13"/>
    </row>
    <row r="58" spans="1:17" ht="1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2" t="str">
        <f t="shared" si="1"/>
        <v/>
      </c>
      <c r="P58" s="13"/>
      <c r="Q58" s="13"/>
    </row>
    <row r="59" spans="1:17" ht="1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2" t="str">
        <f t="shared" si="1"/>
        <v/>
      </c>
      <c r="P59" s="13"/>
      <c r="Q59" s="13"/>
    </row>
    <row r="60" spans="1:17" ht="1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2" t="str">
        <f t="shared" si="1"/>
        <v/>
      </c>
      <c r="P60" s="13"/>
      <c r="Q60" s="13"/>
    </row>
    <row r="61" spans="1:17" ht="1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2" t="str">
        <f t="shared" si="1"/>
        <v/>
      </c>
      <c r="P61" s="13"/>
      <c r="Q61" s="13"/>
    </row>
    <row r="62" spans="1:17" ht="1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2" t="str">
        <f t="shared" si="1"/>
        <v/>
      </c>
      <c r="P62" s="13"/>
      <c r="Q62" s="13"/>
    </row>
    <row r="63" spans="1:17" ht="1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2" t="str">
        <f t="shared" si="1"/>
        <v/>
      </c>
      <c r="P63" s="13"/>
      <c r="Q63" s="13"/>
    </row>
    <row r="64" spans="1:17" ht="1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2" t="str">
        <f t="shared" si="1"/>
        <v/>
      </c>
      <c r="P64" s="13"/>
      <c r="Q64" s="13"/>
    </row>
    <row r="65" spans="1:17" ht="1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2" t="str">
        <f t="shared" si="1"/>
        <v/>
      </c>
      <c r="P65" s="13"/>
      <c r="Q65" s="13"/>
    </row>
    <row r="66" spans="1:17" ht="1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2" t="str">
        <f t="shared" si="1"/>
        <v/>
      </c>
      <c r="P66" s="13"/>
      <c r="Q66" s="13"/>
    </row>
    <row r="67" spans="1:17" ht="1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2" t="str">
        <f t="shared" ref="O67:O98" si="2">IF(A67="","",IF(N67="Готова",1,IF(N67="На тесте",0.8,IF(N67="В разработке",0.5,IF(N67="Утверждена",0.2,IF(N67="Оценена",0.1,IF(N67="Предложена",0,IF(N67="Отклонена",0,IF(N67="Отложена",0,"")))))))))</f>
        <v/>
      </c>
      <c r="P67" s="13"/>
      <c r="Q67" s="13"/>
    </row>
    <row r="68" spans="1:17" ht="1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2" t="str">
        <f t="shared" si="2"/>
        <v/>
      </c>
      <c r="P68" s="13"/>
      <c r="Q68" s="13"/>
    </row>
    <row r="69" spans="1:17" ht="1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2" t="str">
        <f t="shared" si="2"/>
        <v/>
      </c>
      <c r="P69" s="13"/>
      <c r="Q69" s="13"/>
    </row>
    <row r="70" spans="1:17" ht="1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2" t="str">
        <f t="shared" si="2"/>
        <v/>
      </c>
      <c r="P70" s="13"/>
      <c r="Q70" s="13"/>
    </row>
    <row r="71" spans="1:17" ht="1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2" t="str">
        <f t="shared" si="2"/>
        <v/>
      </c>
      <c r="P71" s="13"/>
      <c r="Q71" s="13"/>
    </row>
    <row r="72" spans="1:17" ht="1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2" t="str">
        <f t="shared" si="2"/>
        <v/>
      </c>
      <c r="P72" s="13"/>
      <c r="Q72" s="13"/>
    </row>
    <row r="73" spans="1:17" ht="1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2" t="str">
        <f t="shared" si="2"/>
        <v/>
      </c>
      <c r="P73" s="13"/>
      <c r="Q73" s="13"/>
    </row>
    <row r="74" spans="1:17" ht="1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2" t="str">
        <f t="shared" si="2"/>
        <v/>
      </c>
      <c r="P74" s="13"/>
      <c r="Q74" s="13"/>
    </row>
    <row r="75" spans="1:17" ht="1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2" t="str">
        <f t="shared" si="2"/>
        <v/>
      </c>
      <c r="P75" s="13"/>
      <c r="Q75" s="13"/>
    </row>
    <row r="76" spans="1:17" ht="1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2" t="str">
        <f t="shared" si="2"/>
        <v/>
      </c>
      <c r="P76" s="13"/>
      <c r="Q76" s="13"/>
    </row>
    <row r="77" spans="1:17" ht="1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2" t="str">
        <f t="shared" si="2"/>
        <v/>
      </c>
      <c r="P77" s="13"/>
      <c r="Q77" s="13"/>
    </row>
    <row r="78" spans="1:17" ht="1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2" t="str">
        <f t="shared" si="2"/>
        <v/>
      </c>
      <c r="P78" s="13"/>
      <c r="Q78" s="13"/>
    </row>
    <row r="79" spans="1:17" ht="1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2" t="str">
        <f t="shared" si="2"/>
        <v/>
      </c>
      <c r="P79" s="13"/>
      <c r="Q79" s="13"/>
    </row>
    <row r="80" spans="1:17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2" t="str">
        <f t="shared" si="2"/>
        <v/>
      </c>
      <c r="P80" s="13"/>
      <c r="Q80" s="13"/>
    </row>
    <row r="81" spans="1:17" ht="1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2" t="str">
        <f t="shared" si="2"/>
        <v/>
      </c>
      <c r="P81" s="13"/>
      <c r="Q81" s="13"/>
    </row>
    <row r="82" spans="1:17" ht="1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2" t="str">
        <f t="shared" si="2"/>
        <v/>
      </c>
      <c r="P82" s="13"/>
      <c r="Q82" s="13"/>
    </row>
    <row r="83" spans="1:17" ht="1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2" t="str">
        <f t="shared" si="2"/>
        <v/>
      </c>
      <c r="P83" s="13"/>
      <c r="Q83" s="13"/>
    </row>
    <row r="84" spans="1:17" ht="1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2" t="str">
        <f t="shared" si="2"/>
        <v/>
      </c>
      <c r="P84" s="13"/>
      <c r="Q84" s="13"/>
    </row>
    <row r="85" spans="1:17" ht="1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2" t="str">
        <f t="shared" si="2"/>
        <v/>
      </c>
      <c r="P85" s="13"/>
      <c r="Q85" s="13"/>
    </row>
    <row r="86" spans="1:17" ht="1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2" t="str">
        <f t="shared" si="2"/>
        <v/>
      </c>
      <c r="P86" s="13"/>
      <c r="Q86" s="13"/>
    </row>
    <row r="87" spans="1:17" ht="1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2" t="str">
        <f t="shared" si="2"/>
        <v/>
      </c>
      <c r="P87" s="13"/>
      <c r="Q87" s="13"/>
    </row>
    <row r="88" spans="1:17" ht="1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2" t="str">
        <f t="shared" si="2"/>
        <v/>
      </c>
      <c r="P88" s="13"/>
      <c r="Q88" s="13"/>
    </row>
    <row r="89" spans="1:17" ht="1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2" t="str">
        <f t="shared" si="2"/>
        <v/>
      </c>
      <c r="P89" s="13"/>
      <c r="Q89" s="13"/>
    </row>
    <row r="90" spans="1:17" ht="1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2" t="str">
        <f t="shared" si="2"/>
        <v/>
      </c>
      <c r="P90" s="13"/>
      <c r="Q90" s="13"/>
    </row>
    <row r="91" spans="1:17" ht="1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2" t="str">
        <f t="shared" si="2"/>
        <v/>
      </c>
      <c r="P91" s="13"/>
      <c r="Q91" s="13"/>
    </row>
    <row r="92" spans="1:17" ht="1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2" t="str">
        <f t="shared" si="2"/>
        <v/>
      </c>
      <c r="P92" s="13"/>
      <c r="Q92" s="13"/>
    </row>
    <row r="93" spans="1:17" ht="1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2" t="str">
        <f t="shared" si="2"/>
        <v/>
      </c>
      <c r="P93" s="13"/>
      <c r="Q93" s="13"/>
    </row>
    <row r="94" spans="1:17" ht="1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2" t="str">
        <f t="shared" si="2"/>
        <v/>
      </c>
      <c r="P94" s="13"/>
      <c r="Q94" s="13"/>
    </row>
    <row r="95" spans="1:17" ht="1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2" t="str">
        <f t="shared" si="2"/>
        <v/>
      </c>
      <c r="P95" s="13"/>
      <c r="Q95" s="13"/>
    </row>
    <row r="96" spans="1:17" ht="1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2" t="str">
        <f t="shared" si="2"/>
        <v/>
      </c>
      <c r="P96" s="13"/>
      <c r="Q96" s="13"/>
    </row>
    <row r="97" spans="1:17" ht="1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2" t="str">
        <f t="shared" si="2"/>
        <v/>
      </c>
      <c r="P97" s="13"/>
      <c r="Q97" s="13"/>
    </row>
    <row r="98" spans="1:17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2" t="str">
        <f t="shared" si="2"/>
        <v/>
      </c>
      <c r="P98" s="13"/>
      <c r="Q98" s="13"/>
    </row>
    <row r="99" spans="1:17" ht="1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2" t="str">
        <f t="shared" ref="O99:O130" si="3">IF(A99="","",IF(N99="Готова",1,IF(N99="На тесте",0.8,IF(N99="В разработке",0.5,IF(N99="Утверждена",0.2,IF(N99="Оценена",0.1,IF(N99="Предложена",0,IF(N99="Отклонена",0,IF(N99="Отложена",0,"")))))))))</f>
        <v/>
      </c>
      <c r="P99" s="13"/>
      <c r="Q99" s="13"/>
    </row>
    <row r="100" spans="1:17" ht="1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2" t="str">
        <f t="shared" si="3"/>
        <v/>
      </c>
      <c r="P100" s="13"/>
      <c r="Q100" s="13"/>
    </row>
    <row r="101" spans="1:17" ht="1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2" t="str">
        <f t="shared" si="3"/>
        <v/>
      </c>
      <c r="P101" s="13"/>
      <c r="Q101" s="13"/>
    </row>
    <row r="102" spans="1:17" ht="1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2" t="str">
        <f t="shared" si="3"/>
        <v/>
      </c>
      <c r="P102" s="13"/>
      <c r="Q102" s="13"/>
    </row>
    <row r="103" spans="1:17" ht="1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2" t="str">
        <f t="shared" si="3"/>
        <v/>
      </c>
      <c r="P103" s="13"/>
      <c r="Q103" s="13"/>
    </row>
    <row r="104" spans="1:17" ht="1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2" t="str">
        <f t="shared" si="3"/>
        <v/>
      </c>
      <c r="P104" s="13"/>
      <c r="Q104" s="13"/>
    </row>
    <row r="105" spans="1:17" ht="1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2" t="str">
        <f t="shared" si="3"/>
        <v/>
      </c>
      <c r="P105" s="13"/>
      <c r="Q105" s="13"/>
    </row>
    <row r="106" spans="1:17" ht="1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2" t="str">
        <f t="shared" si="3"/>
        <v/>
      </c>
      <c r="P106" s="13"/>
      <c r="Q106" s="13"/>
    </row>
    <row r="107" spans="1:17" ht="1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2" t="str">
        <f t="shared" si="3"/>
        <v/>
      </c>
      <c r="P107" s="13"/>
      <c r="Q107" s="13"/>
    </row>
    <row r="108" spans="1:17" ht="1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2" t="str">
        <f t="shared" si="3"/>
        <v/>
      </c>
      <c r="P108" s="13"/>
      <c r="Q108" s="13"/>
    </row>
    <row r="109" spans="1:17" ht="1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2" t="str">
        <f t="shared" si="3"/>
        <v/>
      </c>
      <c r="P109" s="13"/>
      <c r="Q109" s="13"/>
    </row>
    <row r="110" spans="1:17" ht="1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2" t="str">
        <f t="shared" si="3"/>
        <v/>
      </c>
      <c r="P110" s="13"/>
      <c r="Q110" s="13"/>
    </row>
    <row r="111" spans="1:17" ht="1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2" t="str">
        <f t="shared" si="3"/>
        <v/>
      </c>
      <c r="P111" s="13"/>
      <c r="Q111" s="13"/>
    </row>
    <row r="112" spans="1:17" ht="1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2" t="str">
        <f t="shared" si="3"/>
        <v/>
      </c>
      <c r="P112" s="13"/>
      <c r="Q112" s="13"/>
    </row>
    <row r="113" spans="1:17" ht="1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2" t="str">
        <f t="shared" si="3"/>
        <v/>
      </c>
      <c r="P113" s="13"/>
      <c r="Q113" s="13"/>
    </row>
    <row r="114" spans="1:17" ht="1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2" t="str">
        <f t="shared" si="3"/>
        <v/>
      </c>
      <c r="P114" s="13"/>
      <c r="Q114" s="13"/>
    </row>
    <row r="115" spans="1:17" ht="1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2" t="str">
        <f t="shared" si="3"/>
        <v/>
      </c>
      <c r="P115" s="13"/>
      <c r="Q115" s="13"/>
    </row>
    <row r="116" spans="1:17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2" t="str">
        <f t="shared" si="3"/>
        <v/>
      </c>
      <c r="P116" s="13"/>
      <c r="Q116" s="13"/>
    </row>
    <row r="117" spans="1:17" ht="1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2" t="str">
        <f t="shared" si="3"/>
        <v/>
      </c>
      <c r="P117" s="13"/>
      <c r="Q117" s="13"/>
    </row>
    <row r="118" spans="1:17" ht="1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2" t="str">
        <f t="shared" si="3"/>
        <v/>
      </c>
      <c r="P118" s="13"/>
      <c r="Q118" s="13"/>
    </row>
    <row r="119" spans="1:17" ht="1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2" t="str">
        <f t="shared" si="3"/>
        <v/>
      </c>
      <c r="P119" s="13"/>
      <c r="Q119" s="13"/>
    </row>
    <row r="120" spans="1:17" ht="1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2" t="str">
        <f t="shared" si="3"/>
        <v/>
      </c>
      <c r="P120" s="13"/>
      <c r="Q120" s="13"/>
    </row>
    <row r="121" spans="1:17" ht="1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2" t="str">
        <f t="shared" si="3"/>
        <v/>
      </c>
      <c r="P121" s="13"/>
      <c r="Q121" s="13"/>
    </row>
    <row r="122" spans="1:17" ht="1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2" t="str">
        <f t="shared" si="3"/>
        <v/>
      </c>
      <c r="P122" s="13"/>
      <c r="Q122" s="13"/>
    </row>
    <row r="123" spans="1:17" ht="1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2" t="str">
        <f t="shared" si="3"/>
        <v/>
      </c>
      <c r="P123" s="13"/>
      <c r="Q123" s="13"/>
    </row>
    <row r="124" spans="1:17" ht="1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2" t="str">
        <f t="shared" si="3"/>
        <v/>
      </c>
      <c r="P124" s="13"/>
      <c r="Q124" s="13"/>
    </row>
    <row r="125" spans="1:17" ht="1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2" t="str">
        <f t="shared" si="3"/>
        <v/>
      </c>
      <c r="P125" s="13"/>
      <c r="Q125" s="13"/>
    </row>
    <row r="126" spans="1:17" ht="1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2" t="str">
        <f t="shared" si="3"/>
        <v/>
      </c>
      <c r="P126" s="13"/>
      <c r="Q126" s="13"/>
    </row>
    <row r="127" spans="1:17" ht="1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2" t="str">
        <f t="shared" si="3"/>
        <v/>
      </c>
      <c r="P127" s="13"/>
      <c r="Q127" s="13"/>
    </row>
    <row r="128" spans="1:17" ht="1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2" t="str">
        <f t="shared" si="3"/>
        <v/>
      </c>
      <c r="P128" s="13"/>
      <c r="Q128" s="13"/>
    </row>
    <row r="129" spans="1:17" ht="1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2" t="str">
        <f t="shared" si="3"/>
        <v/>
      </c>
      <c r="P129" s="13"/>
      <c r="Q129" s="13"/>
    </row>
    <row r="130" spans="1:17" ht="1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2" t="str">
        <f t="shared" si="3"/>
        <v/>
      </c>
      <c r="P130" s="13"/>
      <c r="Q130" s="13"/>
    </row>
    <row r="131" spans="1:17" ht="1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2" t="str">
        <f t="shared" ref="O131:O162" si="4">IF(A131="","",IF(N131="Готова",1,IF(N131="На тесте",0.8,IF(N131="В разработке",0.5,IF(N131="Утверждена",0.2,IF(N131="Оценена",0.1,IF(N131="Предложена",0,IF(N131="Отклонена",0,IF(N131="Отложена",0,"")))))))))</f>
        <v/>
      </c>
      <c r="P131" s="13"/>
      <c r="Q131" s="13"/>
    </row>
    <row r="132" spans="1:17" ht="1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2" t="str">
        <f t="shared" si="4"/>
        <v/>
      </c>
      <c r="P132" s="13"/>
      <c r="Q132" s="13"/>
    </row>
    <row r="133" spans="1:17" ht="1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2" t="str">
        <f t="shared" si="4"/>
        <v/>
      </c>
      <c r="P133" s="13"/>
      <c r="Q133" s="13"/>
    </row>
    <row r="134" spans="1:17" ht="1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2" t="str">
        <f t="shared" si="4"/>
        <v/>
      </c>
      <c r="P134" s="13"/>
      <c r="Q134" s="13"/>
    </row>
    <row r="135" spans="1:17" ht="1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2" t="str">
        <f t="shared" si="4"/>
        <v/>
      </c>
      <c r="P135" s="13"/>
      <c r="Q135" s="13"/>
    </row>
    <row r="136" spans="1:17" ht="1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2" t="str">
        <f t="shared" si="4"/>
        <v/>
      </c>
      <c r="P136" s="13"/>
      <c r="Q136" s="13"/>
    </row>
    <row r="137" spans="1:17" ht="1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2" t="str">
        <f t="shared" si="4"/>
        <v/>
      </c>
      <c r="P137" s="13"/>
      <c r="Q137" s="13"/>
    </row>
    <row r="138" spans="1:17" ht="1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2" t="str">
        <f t="shared" si="4"/>
        <v/>
      </c>
      <c r="P138" s="13"/>
      <c r="Q138" s="13"/>
    </row>
    <row r="139" spans="1:17" ht="1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2" t="str">
        <f t="shared" si="4"/>
        <v/>
      </c>
      <c r="P139" s="13"/>
      <c r="Q139" s="13"/>
    </row>
    <row r="140" spans="1:17" ht="1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2" t="str">
        <f t="shared" si="4"/>
        <v/>
      </c>
      <c r="P140" s="13"/>
      <c r="Q140" s="13"/>
    </row>
    <row r="141" spans="1:17" ht="1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2" t="str">
        <f t="shared" si="4"/>
        <v/>
      </c>
      <c r="P141" s="13"/>
      <c r="Q141" s="13"/>
    </row>
    <row r="142" spans="1:17" ht="1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2" t="str">
        <f t="shared" si="4"/>
        <v/>
      </c>
      <c r="P142" s="13"/>
      <c r="Q142" s="13"/>
    </row>
    <row r="143" spans="1:17" ht="1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2" t="str">
        <f t="shared" si="4"/>
        <v/>
      </c>
      <c r="P143" s="13"/>
      <c r="Q143" s="13"/>
    </row>
    <row r="144" spans="1:17" ht="1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2" t="str">
        <f t="shared" si="4"/>
        <v/>
      </c>
      <c r="P144" s="13"/>
      <c r="Q144" s="13"/>
    </row>
    <row r="145" spans="1:17" ht="1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2" t="str">
        <f t="shared" si="4"/>
        <v/>
      </c>
      <c r="P145" s="13"/>
      <c r="Q145" s="13"/>
    </row>
    <row r="146" spans="1:17" ht="1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2" t="str">
        <f t="shared" si="4"/>
        <v/>
      </c>
      <c r="P146" s="13"/>
      <c r="Q146" s="13"/>
    </row>
    <row r="147" spans="1:17" ht="1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2" t="str">
        <f t="shared" si="4"/>
        <v/>
      </c>
      <c r="P147" s="13"/>
      <c r="Q147" s="13"/>
    </row>
    <row r="148" spans="1:17" ht="1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2" t="str">
        <f t="shared" si="4"/>
        <v/>
      </c>
      <c r="P148" s="13"/>
      <c r="Q148" s="13"/>
    </row>
    <row r="149" spans="1:17" ht="1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2" t="str">
        <f t="shared" si="4"/>
        <v/>
      </c>
      <c r="P149" s="13"/>
      <c r="Q149" s="13"/>
    </row>
    <row r="150" spans="1:17" ht="1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2" t="str">
        <f t="shared" si="4"/>
        <v/>
      </c>
      <c r="P150" s="13"/>
      <c r="Q150" s="13"/>
    </row>
    <row r="151" spans="1:17" ht="1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2" t="str">
        <f t="shared" si="4"/>
        <v/>
      </c>
      <c r="P151" s="13"/>
      <c r="Q151" s="13"/>
    </row>
    <row r="152" spans="1:17" ht="1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2" t="str">
        <f t="shared" si="4"/>
        <v/>
      </c>
      <c r="P152" s="13"/>
      <c r="Q152" s="13"/>
    </row>
    <row r="153" spans="1:17" ht="1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2" t="str">
        <f t="shared" si="4"/>
        <v/>
      </c>
      <c r="P153" s="13"/>
      <c r="Q153" s="13"/>
    </row>
    <row r="154" spans="1:17" ht="1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2" t="str">
        <f t="shared" si="4"/>
        <v/>
      </c>
      <c r="P154" s="13"/>
      <c r="Q154" s="13"/>
    </row>
    <row r="155" spans="1:17" ht="1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2" t="str">
        <f t="shared" si="4"/>
        <v/>
      </c>
      <c r="P155" s="13"/>
      <c r="Q155" s="13"/>
    </row>
    <row r="156" spans="1:17" ht="1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2" t="str">
        <f t="shared" si="4"/>
        <v/>
      </c>
      <c r="P156" s="13"/>
      <c r="Q156" s="13"/>
    </row>
    <row r="157" spans="1:17" ht="1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2" t="str">
        <f t="shared" si="4"/>
        <v/>
      </c>
      <c r="P157" s="13"/>
      <c r="Q157" s="13"/>
    </row>
    <row r="158" spans="1:17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2" t="str">
        <f t="shared" si="4"/>
        <v/>
      </c>
      <c r="P158" s="13"/>
      <c r="Q158" s="13"/>
    </row>
    <row r="159" spans="1:17" ht="1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2" t="str">
        <f t="shared" si="4"/>
        <v/>
      </c>
      <c r="P159" s="13"/>
      <c r="Q159" s="13"/>
    </row>
    <row r="160" spans="1:17" ht="1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2" t="str">
        <f t="shared" si="4"/>
        <v/>
      </c>
      <c r="P160" s="13"/>
      <c r="Q160" s="13"/>
    </row>
    <row r="161" spans="1:17" ht="1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2" t="str">
        <f t="shared" si="4"/>
        <v/>
      </c>
      <c r="P161" s="13"/>
      <c r="Q161" s="13"/>
    </row>
    <row r="162" spans="1:17" ht="1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2" t="str">
        <f t="shared" si="4"/>
        <v/>
      </c>
      <c r="P162" s="13"/>
      <c r="Q162" s="13"/>
    </row>
    <row r="163" spans="1:17" ht="1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2" t="str">
        <f t="shared" ref="O163:O194" si="5">IF(A163="","",IF(N163="Готова",1,IF(N163="На тесте",0.8,IF(N163="В разработке",0.5,IF(N163="Утверждена",0.2,IF(N163="Оценена",0.1,IF(N163="Предложена",0,IF(N163="Отклонена",0,IF(N163="Отложена",0,"")))))))))</f>
        <v/>
      </c>
      <c r="P163" s="13"/>
      <c r="Q163" s="13"/>
    </row>
    <row r="164" spans="1:17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2" t="str">
        <f t="shared" si="5"/>
        <v/>
      </c>
      <c r="P164" s="13"/>
      <c r="Q164" s="13"/>
    </row>
    <row r="165" spans="1:17" ht="1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2" t="str">
        <f t="shared" si="5"/>
        <v/>
      </c>
      <c r="P165" s="13"/>
      <c r="Q165" s="13"/>
    </row>
    <row r="166" spans="1:17" ht="1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2" t="str">
        <f t="shared" si="5"/>
        <v/>
      </c>
      <c r="P166" s="13"/>
      <c r="Q166" s="13"/>
    </row>
    <row r="167" spans="1:17" ht="1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2" t="str">
        <f t="shared" si="5"/>
        <v/>
      </c>
      <c r="P167" s="13"/>
      <c r="Q167" s="13"/>
    </row>
    <row r="168" spans="1:17" ht="1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2" t="str">
        <f t="shared" si="5"/>
        <v/>
      </c>
      <c r="P168" s="13"/>
      <c r="Q168" s="13"/>
    </row>
    <row r="169" spans="1:17" ht="1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2" t="str">
        <f t="shared" si="5"/>
        <v/>
      </c>
      <c r="P169" s="13"/>
      <c r="Q169" s="13"/>
    </row>
    <row r="170" spans="1:17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2" t="str">
        <f t="shared" si="5"/>
        <v/>
      </c>
      <c r="P170" s="13"/>
      <c r="Q170" s="13"/>
    </row>
    <row r="171" spans="1:17" ht="1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2" t="str">
        <f t="shared" si="5"/>
        <v/>
      </c>
      <c r="P171" s="13"/>
      <c r="Q171" s="13"/>
    </row>
    <row r="172" spans="1:17" ht="1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2" t="str">
        <f t="shared" si="5"/>
        <v/>
      </c>
      <c r="P172" s="13"/>
      <c r="Q172" s="13"/>
    </row>
    <row r="173" spans="1:17" ht="1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2" t="str">
        <f t="shared" si="5"/>
        <v/>
      </c>
      <c r="P173" s="13"/>
      <c r="Q173" s="13"/>
    </row>
    <row r="174" spans="1:17" ht="1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2" t="str">
        <f t="shared" si="5"/>
        <v/>
      </c>
      <c r="P174" s="13"/>
      <c r="Q174" s="13"/>
    </row>
    <row r="175" spans="1:17" ht="1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2" t="str">
        <f t="shared" si="5"/>
        <v/>
      </c>
      <c r="P175" s="13"/>
      <c r="Q175" s="13"/>
    </row>
    <row r="176" spans="1:17" ht="1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2" t="str">
        <f t="shared" si="5"/>
        <v/>
      </c>
      <c r="P176" s="13"/>
      <c r="Q176" s="13"/>
    </row>
    <row r="177" spans="1:17" ht="1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2" t="str">
        <f t="shared" si="5"/>
        <v/>
      </c>
      <c r="P177" s="13"/>
      <c r="Q177" s="13"/>
    </row>
    <row r="178" spans="1:17" ht="1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2" t="str">
        <f t="shared" si="5"/>
        <v/>
      </c>
      <c r="P178" s="13"/>
      <c r="Q178" s="13"/>
    </row>
    <row r="179" spans="1:17" ht="1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2" t="str">
        <f t="shared" si="5"/>
        <v/>
      </c>
      <c r="P179" s="13"/>
      <c r="Q179" s="13"/>
    </row>
    <row r="180" spans="1:17" ht="1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2" t="str">
        <f t="shared" si="5"/>
        <v/>
      </c>
      <c r="P180" s="13"/>
      <c r="Q180" s="13"/>
    </row>
    <row r="181" spans="1:17" ht="1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2" t="str">
        <f t="shared" si="5"/>
        <v/>
      </c>
      <c r="P181" s="13"/>
      <c r="Q181" s="13"/>
    </row>
    <row r="182" spans="1:17" ht="1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2" t="str">
        <f t="shared" si="5"/>
        <v/>
      </c>
      <c r="P182" s="13"/>
      <c r="Q182" s="13"/>
    </row>
    <row r="183" spans="1:17" ht="1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2" t="str">
        <f t="shared" si="5"/>
        <v/>
      </c>
      <c r="P183" s="13"/>
      <c r="Q183" s="13"/>
    </row>
    <row r="184" spans="1:17" ht="1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2" t="str">
        <f t="shared" si="5"/>
        <v/>
      </c>
      <c r="P184" s="13"/>
      <c r="Q184" s="13"/>
    </row>
    <row r="185" spans="1:17" ht="1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2" t="str">
        <f t="shared" si="5"/>
        <v/>
      </c>
      <c r="P185" s="13"/>
      <c r="Q185" s="13"/>
    </row>
    <row r="186" spans="1:17" ht="1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2" t="str">
        <f t="shared" si="5"/>
        <v/>
      </c>
      <c r="P186" s="13"/>
      <c r="Q186" s="13"/>
    </row>
    <row r="187" spans="1:17" ht="1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2" t="str">
        <f t="shared" si="5"/>
        <v/>
      </c>
      <c r="P187" s="13"/>
      <c r="Q187" s="13"/>
    </row>
    <row r="188" spans="1:17" ht="1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2" t="str">
        <f t="shared" si="5"/>
        <v/>
      </c>
      <c r="P188" s="13"/>
      <c r="Q188" s="13"/>
    </row>
    <row r="189" spans="1:17" ht="1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2" t="str">
        <f t="shared" si="5"/>
        <v/>
      </c>
      <c r="P189" s="13"/>
      <c r="Q189" s="13"/>
    </row>
    <row r="190" spans="1:17" ht="1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2" t="str">
        <f t="shared" si="5"/>
        <v/>
      </c>
      <c r="P190" s="13"/>
      <c r="Q190" s="13"/>
    </row>
    <row r="191" spans="1:17" ht="1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2" t="str">
        <f t="shared" si="5"/>
        <v/>
      </c>
      <c r="P191" s="13"/>
      <c r="Q191" s="13"/>
    </row>
    <row r="192" spans="1:17" ht="1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2" t="str">
        <f t="shared" si="5"/>
        <v/>
      </c>
      <c r="P192" s="13"/>
      <c r="Q192" s="13"/>
    </row>
    <row r="193" spans="1:17" ht="1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2" t="str">
        <f t="shared" si="5"/>
        <v/>
      </c>
      <c r="P193" s="13"/>
      <c r="Q193" s="13"/>
    </row>
    <row r="194" spans="1:17" ht="1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2" t="str">
        <f t="shared" si="5"/>
        <v/>
      </c>
      <c r="P194" s="13"/>
      <c r="Q194" s="13"/>
    </row>
    <row r="195" spans="1:17" ht="1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2" t="str">
        <f t="shared" ref="O195:O226" si="6">IF(A195="","",IF(N195="Готова",1,IF(N195="На тесте",0.8,IF(N195="В разработке",0.5,IF(N195="Утверждена",0.2,IF(N195="Оценена",0.1,IF(N195="Предложена",0,IF(N195="Отклонена",0,IF(N195="Отложена",0,"")))))))))</f>
        <v/>
      </c>
      <c r="P195" s="13"/>
      <c r="Q195" s="13"/>
    </row>
    <row r="196" spans="1:17" ht="1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2" t="str">
        <f t="shared" si="6"/>
        <v/>
      </c>
      <c r="P196" s="13"/>
      <c r="Q196" s="13"/>
    </row>
    <row r="197" spans="1:17" ht="1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2" t="str">
        <f t="shared" si="6"/>
        <v/>
      </c>
      <c r="P197" s="13"/>
      <c r="Q197" s="13"/>
    </row>
    <row r="198" spans="1:17" ht="1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2" t="str">
        <f t="shared" si="6"/>
        <v/>
      </c>
      <c r="P198" s="13"/>
      <c r="Q198" s="13"/>
    </row>
    <row r="199" spans="1:17" ht="1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2" t="str">
        <f t="shared" si="6"/>
        <v/>
      </c>
      <c r="P199" s="13"/>
      <c r="Q199" s="13"/>
    </row>
    <row r="200" spans="1:17" ht="1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2" t="str">
        <f t="shared" si="6"/>
        <v/>
      </c>
      <c r="P200" s="13"/>
      <c r="Q200" s="13"/>
    </row>
    <row r="201" spans="1:17" ht="1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2" t="str">
        <f t="shared" si="6"/>
        <v/>
      </c>
      <c r="P201" s="13"/>
      <c r="Q201" s="13"/>
    </row>
    <row r="202" spans="1:17" ht="1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2" t="str">
        <f t="shared" si="6"/>
        <v/>
      </c>
      <c r="P202" s="13"/>
      <c r="Q202" s="13"/>
    </row>
  </sheetData>
  <autoFilter ref="A2:Q202" xr:uid="{00000000-0009-0000-0000-000001000000}"/>
  <conditionalFormatting sqref="I3:I202">
    <cfRule type="cellIs" dxfId="3" priority="2" operator="equal">
      <formula>"Высокое"</formula>
    </cfRule>
    <cfRule type="cellIs" dxfId="2" priority="3" operator="equal">
      <formula>"Среднее"</formula>
    </cfRule>
  </conditionalFormatting>
  <conditionalFormatting sqref="N3:N202">
    <cfRule type="cellIs" dxfId="1" priority="4" operator="equal">
      <formula>"Готова"</formula>
    </cfRule>
    <cfRule type="cellIs" dxfId="0" priority="5" operator="equal">
      <formula>"Отклонена"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error="Выберите из списка" xr:uid="{00000000-0002-0000-0100-000000000000}">
          <x14:formula1>
            <xm:f>Справочники!$A$2:$A$11</xm:f>
          </x14:formula1>
          <x14:formula2>
            <xm:f>0</xm:f>
          </x14:formula2>
          <xm:sqref>C3:C202</xm:sqref>
        </x14:dataValidation>
        <x14:dataValidation type="list" allowBlank="1" error="Выберите из списка" xr:uid="{00000000-0002-0000-0100-000001000000}">
          <x14:formula1>
            <xm:f>Справочники!$B$2:$B$11</xm:f>
          </x14:formula1>
          <x14:formula2>
            <xm:f>0</xm:f>
          </x14:formula2>
          <xm:sqref>G3:G202</xm:sqref>
        </x14:dataValidation>
        <x14:dataValidation type="list" allowBlank="1" error="Выберите из списка" xr:uid="{00000000-0002-0000-0100-000002000000}">
          <x14:formula1>
            <xm:f>Справочники!$C$2:$C$6</xm:f>
          </x14:formula1>
          <x14:formula2>
            <xm:f>0</xm:f>
          </x14:formula2>
          <xm:sqref>H3:H202</xm:sqref>
        </x14:dataValidation>
        <x14:dataValidation type="list" allowBlank="1" error="Выберите из списка" xr:uid="{00000000-0002-0000-0100-000003000000}">
          <x14:formula1>
            <xm:f>Справочники!$D$2:$D$5</xm:f>
          </x14:formula1>
          <x14:formula2>
            <xm:f>0</xm:f>
          </x14:formula2>
          <xm:sqref>J3:J202</xm:sqref>
        </x14:dataValidation>
        <x14:dataValidation type="list" allowBlank="1" error="Выберите из списка" xr:uid="{00000000-0002-0000-0100-000004000000}">
          <x14:formula1>
            <xm:f>Справочники!$E$2:$E$9</xm:f>
          </x14:formula1>
          <x14:formula2>
            <xm:f>0</xm:f>
          </x14:formula2>
          <xm:sqref>N3:N202</xm:sqref>
        </x14:dataValidation>
        <x14:dataValidation type="list" allowBlank="1" error="Выберите из списка" xr:uid="{00000000-0002-0000-0100-000005000000}">
          <x14:formula1>
            <xm:f>Справочники!$F$2:$F$5</xm:f>
          </x14:formula1>
          <x14:formula2>
            <xm:f>0</xm:f>
          </x14:formula2>
          <xm:sqref>I3:I202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2"/>
  <sheetViews>
    <sheetView showGridLines="0" zoomScaleNormal="100" workbookViewId="0"/>
  </sheetViews>
  <sheetFormatPr defaultColWidth="8.7109375" defaultRowHeight="15" x14ac:dyDescent="0.25"/>
  <cols>
    <col min="1" max="1" width="3" style="1" customWidth="1"/>
    <col min="2" max="2" width="26" style="1" customWidth="1"/>
    <col min="3" max="3" width="12" style="1" customWidth="1"/>
    <col min="4" max="4" width="3" style="1" customWidth="1"/>
    <col min="5" max="5" width="26" style="1" customWidth="1"/>
    <col min="6" max="6" width="12" style="1" customWidth="1"/>
  </cols>
  <sheetData>
    <row r="2" spans="2:6" ht="17.25" customHeight="1" x14ac:dyDescent="0.25">
      <c r="B2" s="9" t="s">
        <v>103</v>
      </c>
    </row>
    <row r="3" spans="2:6" ht="15" customHeight="1" x14ac:dyDescent="0.25">
      <c r="B3" s="3" t="s">
        <v>104</v>
      </c>
    </row>
    <row r="5" spans="2:6" ht="15" customHeight="1" x14ac:dyDescent="0.25">
      <c r="B5" s="6" t="s">
        <v>105</v>
      </c>
      <c r="E5" s="6" t="s">
        <v>106</v>
      </c>
    </row>
    <row r="6" spans="2:6" ht="15" customHeight="1" x14ac:dyDescent="0.25">
      <c r="B6" s="10" t="s">
        <v>47</v>
      </c>
      <c r="C6" s="10" t="s">
        <v>107</v>
      </c>
      <c r="E6" s="14" t="s">
        <v>108</v>
      </c>
      <c r="F6" s="15">
        <f>SUM('Реестр доработок'!$K$3:$K$202)</f>
        <v>232</v>
      </c>
    </row>
    <row r="7" spans="2:6" ht="15" customHeight="1" x14ac:dyDescent="0.25">
      <c r="B7" s="16" t="s">
        <v>86</v>
      </c>
      <c r="C7" s="17">
        <f>COUNTIF('Реестр доработок'!$N$3:$N$202,"Предложена")</f>
        <v>1</v>
      </c>
      <c r="E7" s="14" t="s">
        <v>109</v>
      </c>
      <c r="F7" s="15">
        <f>SUM('Реестр доработок'!$L$3:$L$202)</f>
        <v>0</v>
      </c>
    </row>
    <row r="8" spans="2:6" ht="15" customHeight="1" x14ac:dyDescent="0.25">
      <c r="B8" s="16" t="s">
        <v>75</v>
      </c>
      <c r="C8" s="17">
        <f>COUNTIF('Реестр доработок'!$N$3:$N$202,"Оценена")</f>
        <v>1</v>
      </c>
      <c r="E8" s="14" t="s">
        <v>110</v>
      </c>
      <c r="F8" s="18">
        <f>SUM('Реестр доработок'!$L$3:$L$202)-SUM('Реестр доработок'!$K$3:$K$202)</f>
        <v>-232</v>
      </c>
    </row>
    <row r="9" spans="2:6" ht="15" customHeight="1" x14ac:dyDescent="0.25">
      <c r="B9" s="16" t="s">
        <v>111</v>
      </c>
      <c r="C9" s="17">
        <f>COUNTIF('Реестр доработок'!$N$3:$N$202,"Утверждена")</f>
        <v>0</v>
      </c>
    </row>
    <row r="10" spans="2:6" ht="15" customHeight="1" x14ac:dyDescent="0.25">
      <c r="B10" s="16" t="s">
        <v>62</v>
      </c>
      <c r="C10" s="17">
        <f>COUNTIF('Реестр доработок'!$N$3:$N$202,"В разработке")</f>
        <v>1</v>
      </c>
    </row>
    <row r="11" spans="2:6" ht="15" customHeight="1" x14ac:dyDescent="0.25">
      <c r="B11" s="16" t="s">
        <v>102</v>
      </c>
      <c r="C11" s="17">
        <f>COUNTIF('Реестр доработок'!$N$3:$N$202,"На тесте")</f>
        <v>1</v>
      </c>
      <c r="E11" s="6" t="s">
        <v>112</v>
      </c>
    </row>
    <row r="12" spans="2:6" ht="15" customHeight="1" x14ac:dyDescent="0.25">
      <c r="B12" s="16" t="s">
        <v>93</v>
      </c>
      <c r="C12" s="17">
        <f>COUNTIF('Реестр доработок'!$N$3:$N$202,"Готова")</f>
        <v>1</v>
      </c>
      <c r="E12" s="10" t="s">
        <v>113</v>
      </c>
      <c r="F12" s="10" t="s">
        <v>107</v>
      </c>
    </row>
    <row r="13" spans="2:6" ht="15" customHeight="1" x14ac:dyDescent="0.25">
      <c r="B13" s="16" t="s">
        <v>114</v>
      </c>
      <c r="C13" s="17">
        <f>COUNTIF('Реестр доработок'!$N$3:$N$202,"Отклонена")</f>
        <v>0</v>
      </c>
      <c r="E13" s="16" t="s">
        <v>72</v>
      </c>
      <c r="F13" s="17">
        <f>COUNTIF('Реестр доработок'!$H$3:$H$202,"Расширение конфигурации")</f>
        <v>1</v>
      </c>
    </row>
    <row r="14" spans="2:6" ht="15" customHeight="1" x14ac:dyDescent="0.25">
      <c r="B14" s="16" t="s">
        <v>115</v>
      </c>
      <c r="C14" s="17">
        <f>COUNTIF('Реестр доработок'!$N$3:$N$202,"Отложена")</f>
        <v>0</v>
      </c>
      <c r="E14" s="16" t="s">
        <v>58</v>
      </c>
      <c r="F14" s="17">
        <f>COUNTIF('Реестр доработок'!$H$3:$H$202,"Изменение типового объекта")</f>
        <v>1</v>
      </c>
    </row>
    <row r="15" spans="2:6" ht="15" customHeight="1" x14ac:dyDescent="0.25">
      <c r="B15" s="14" t="s">
        <v>116</v>
      </c>
      <c r="C15" s="15">
        <f>COUNTA('Реестр доработок'!$A$3:$A$202)</f>
        <v>5</v>
      </c>
      <c r="E15" s="16" t="s">
        <v>92</v>
      </c>
      <c r="F15" s="17">
        <f>COUNTIF('Реестр доработок'!$H$3:$H$202,"Новый объект")</f>
        <v>1</v>
      </c>
    </row>
    <row r="16" spans="2:6" ht="15" customHeight="1" x14ac:dyDescent="0.25">
      <c r="E16" s="16" t="s">
        <v>83</v>
      </c>
      <c r="F16" s="17">
        <f>COUNTIF('Реестр доработок'!$H$3:$H$202,"Внешняя обработка/отчёт")</f>
        <v>1</v>
      </c>
    </row>
    <row r="17" spans="2:6" ht="15" customHeight="1" x14ac:dyDescent="0.25">
      <c r="B17" s="6" t="s">
        <v>117</v>
      </c>
      <c r="E17" s="16" t="s">
        <v>100</v>
      </c>
      <c r="F17" s="17">
        <f>COUNTIF('Реестр доработок'!$H$3:$H$202,"Настройка (без кода)")</f>
        <v>1</v>
      </c>
    </row>
    <row r="18" spans="2:6" ht="15" customHeight="1" x14ac:dyDescent="0.25">
      <c r="B18" s="10" t="s">
        <v>43</v>
      </c>
      <c r="C18" s="10" t="s">
        <v>107</v>
      </c>
    </row>
    <row r="19" spans="2:6" ht="15" customHeight="1" x14ac:dyDescent="0.25">
      <c r="B19" s="16" t="s">
        <v>60</v>
      </c>
      <c r="C19" s="17">
        <f>COUNTIF('Реестр доработок'!$J$3:$J$202,"Must")</f>
        <v>3</v>
      </c>
    </row>
    <row r="20" spans="2:6" ht="15" customHeight="1" x14ac:dyDescent="0.25">
      <c r="B20" s="16" t="s">
        <v>85</v>
      </c>
      <c r="C20" s="17">
        <f>COUNTIF('Реестр доработок'!$J$3:$J$202,"Should")</f>
        <v>2</v>
      </c>
    </row>
    <row r="21" spans="2:6" ht="15" customHeight="1" x14ac:dyDescent="0.25">
      <c r="B21" s="16" t="s">
        <v>118</v>
      </c>
      <c r="C21" s="17">
        <f>COUNTIF('Реестр доработок'!$J$3:$J$202,"Could")</f>
        <v>0</v>
      </c>
    </row>
    <row r="22" spans="2:6" ht="15" customHeight="1" x14ac:dyDescent="0.25">
      <c r="B22" s="16" t="s">
        <v>119</v>
      </c>
      <c r="C22" s="17">
        <f>COUNTIF('Реестр доработок'!$J$3:$J$202,"Won't (этой волны)")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zoomScaleNormal="100" workbookViewId="0"/>
  </sheetViews>
  <sheetFormatPr defaultColWidth="8.7109375" defaultRowHeight="15" x14ac:dyDescent="0.25"/>
  <cols>
    <col min="1" max="1" width="24" style="1" customWidth="1"/>
    <col min="2" max="2" width="22" style="1" customWidth="1"/>
    <col min="3" max="3" width="26" style="1" customWidth="1"/>
    <col min="4" max="6" width="24" style="1" customWidth="1"/>
  </cols>
  <sheetData>
    <row r="1" spans="1:6" ht="15" customHeight="1" x14ac:dyDescent="0.25">
      <c r="A1" s="10" t="s">
        <v>36</v>
      </c>
      <c r="B1" s="10" t="s">
        <v>40</v>
      </c>
      <c r="C1" s="10" t="s">
        <v>41</v>
      </c>
      <c r="D1" s="10" t="s">
        <v>120</v>
      </c>
      <c r="E1" s="10" t="s">
        <v>47</v>
      </c>
      <c r="F1" s="10" t="s">
        <v>42</v>
      </c>
    </row>
    <row r="2" spans="1:6" ht="15" customHeight="1" x14ac:dyDescent="0.25">
      <c r="A2" s="16" t="s">
        <v>121</v>
      </c>
      <c r="B2" s="16" t="s">
        <v>71</v>
      </c>
      <c r="C2" s="16" t="s">
        <v>72</v>
      </c>
      <c r="D2" s="16" t="s">
        <v>60</v>
      </c>
      <c r="E2" s="16" t="s">
        <v>86</v>
      </c>
      <c r="F2" s="16" t="s">
        <v>84</v>
      </c>
    </row>
    <row r="3" spans="1:6" ht="15" customHeight="1" x14ac:dyDescent="0.25">
      <c r="A3" s="16" t="s">
        <v>122</v>
      </c>
      <c r="B3" s="16" t="s">
        <v>123</v>
      </c>
      <c r="C3" s="16" t="s">
        <v>58</v>
      </c>
      <c r="D3" s="16" t="s">
        <v>85</v>
      </c>
      <c r="E3" s="16" t="s">
        <v>75</v>
      </c>
      <c r="F3" s="16" t="s">
        <v>73</v>
      </c>
    </row>
    <row r="4" spans="1:6" ht="15" customHeight="1" x14ac:dyDescent="0.25">
      <c r="A4" s="16" t="s">
        <v>67</v>
      </c>
      <c r="B4" s="16" t="s">
        <v>124</v>
      </c>
      <c r="C4" s="16" t="s">
        <v>92</v>
      </c>
      <c r="D4" s="16" t="s">
        <v>118</v>
      </c>
      <c r="E4" s="16" t="s">
        <v>111</v>
      </c>
      <c r="F4" s="16" t="s">
        <v>59</v>
      </c>
    </row>
    <row r="5" spans="1:6" ht="15" customHeight="1" x14ac:dyDescent="0.25">
      <c r="A5" s="16" t="s">
        <v>53</v>
      </c>
      <c r="B5" s="16" t="s">
        <v>125</v>
      </c>
      <c r="C5" s="16" t="s">
        <v>83</v>
      </c>
      <c r="D5" s="16" t="s">
        <v>119</v>
      </c>
      <c r="E5" s="16" t="s">
        <v>62</v>
      </c>
      <c r="F5" s="16" t="s">
        <v>126</v>
      </c>
    </row>
    <row r="6" spans="1:6" ht="15" customHeight="1" x14ac:dyDescent="0.25">
      <c r="A6" s="16" t="s">
        <v>127</v>
      </c>
      <c r="B6" s="16" t="s">
        <v>128</v>
      </c>
      <c r="C6" s="16" t="s">
        <v>100</v>
      </c>
      <c r="E6" s="16" t="s">
        <v>102</v>
      </c>
    </row>
    <row r="7" spans="1:6" ht="15" customHeight="1" x14ac:dyDescent="0.25">
      <c r="A7" s="16" t="s">
        <v>78</v>
      </c>
      <c r="B7" s="16" t="s">
        <v>91</v>
      </c>
      <c r="E7" s="16" t="s">
        <v>93</v>
      </c>
    </row>
    <row r="8" spans="1:6" ht="15" customHeight="1" x14ac:dyDescent="0.25">
      <c r="A8" s="16" t="s">
        <v>129</v>
      </c>
      <c r="B8" s="16" t="s">
        <v>82</v>
      </c>
      <c r="E8" s="16" t="s">
        <v>114</v>
      </c>
    </row>
    <row r="9" spans="1:6" ht="15" customHeight="1" x14ac:dyDescent="0.25">
      <c r="A9" s="16" t="s">
        <v>130</v>
      </c>
      <c r="B9" s="16" t="s">
        <v>99</v>
      </c>
      <c r="E9" s="16" t="s">
        <v>115</v>
      </c>
    </row>
    <row r="10" spans="1:6" ht="15" customHeight="1" x14ac:dyDescent="0.25">
      <c r="A10" s="16" t="s">
        <v>131</v>
      </c>
      <c r="B10" s="16" t="s">
        <v>132</v>
      </c>
    </row>
    <row r="11" spans="1:6" ht="15" customHeight="1" x14ac:dyDescent="0.25">
      <c r="A11" s="16" t="s">
        <v>96</v>
      </c>
      <c r="B11" s="16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style="1" customWidth="1"/>
    <col min="2" max="2" width="16" style="1" customWidth="1"/>
    <col min="3" max="3" width="70" style="1" customWidth="1"/>
    <col min="4" max="4" width="24" style="1" customWidth="1"/>
  </cols>
  <sheetData>
    <row r="1" spans="1:4" ht="15.75" customHeight="1" x14ac:dyDescent="0.25">
      <c r="A1" s="19" t="s">
        <v>133</v>
      </c>
    </row>
    <row r="2" spans="1:4" ht="15" customHeight="1" x14ac:dyDescent="0.25">
      <c r="A2" s="10" t="s">
        <v>134</v>
      </c>
      <c r="B2" s="10" t="s">
        <v>135</v>
      </c>
      <c r="C2" s="10" t="s">
        <v>136</v>
      </c>
      <c r="D2" s="10" t="s">
        <v>137</v>
      </c>
    </row>
    <row r="3" spans="1:4" ht="15" customHeight="1" x14ac:dyDescent="0.25">
      <c r="A3" s="20" t="s">
        <v>138</v>
      </c>
      <c r="B3" s="20" t="s">
        <v>139</v>
      </c>
      <c r="C3" s="20" t="s">
        <v>140</v>
      </c>
      <c r="D3" s="20" t="s">
        <v>141</v>
      </c>
    </row>
    <row r="4" spans="1:4" ht="15" customHeight="1" x14ac:dyDescent="0.25">
      <c r="A4" s="21"/>
      <c r="B4" s="21"/>
      <c r="C4" s="21"/>
      <c r="D4" s="21"/>
    </row>
    <row r="5" spans="1:4" ht="15" customHeight="1" x14ac:dyDescent="0.25">
      <c r="A5" s="21"/>
      <c r="B5" s="21"/>
      <c r="C5" s="21"/>
      <c r="D5" s="21"/>
    </row>
    <row r="6" spans="1:4" ht="15" customHeight="1" x14ac:dyDescent="0.25">
      <c r="A6" s="21"/>
      <c r="B6" s="21"/>
      <c r="C6" s="21"/>
      <c r="D6" s="21"/>
    </row>
    <row r="7" spans="1:4" ht="15" customHeight="1" x14ac:dyDescent="0.25">
      <c r="A7" s="21"/>
      <c r="B7" s="21"/>
      <c r="C7" s="21"/>
      <c r="D7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доработок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2026-06-19T08:36:14Z</dcterms:created>
  <dcterms:modified xsi:type="dcterms:W3CDTF">2026-06-19T08:39:51Z</dcterms:modified>
  <dc:language>en-US</dc:language>
</cp:coreProperties>
</file>