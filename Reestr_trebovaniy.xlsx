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C21B0224-4A48-43B5-86C4-0EFDACBF6AF9}" xr6:coauthVersionLast="47" xr6:coauthVersionMax="47" xr10:uidLastSave="{00000000-0000-0000-0000-000000000000}"/>
  <bookViews>
    <workbookView xWindow="19065" yWindow="1635" windowWidth="25860" windowHeight="16530" tabRatio="500" activeTab="1" xr2:uid="{00000000-000D-0000-FFFF-FFFF00000000}"/>
  </bookViews>
  <sheets>
    <sheet name="Инструкция" sheetId="1" r:id="rId1"/>
    <sheet name="Реестр требований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'Реестр требований'!$A$2:$M$202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3" l="1"/>
  <c r="F20" i="3"/>
  <c r="F19" i="3"/>
  <c r="F18" i="3"/>
  <c r="F17" i="3"/>
  <c r="F16" i="3"/>
  <c r="F15" i="3"/>
  <c r="F14" i="3"/>
  <c r="C14" i="3"/>
  <c r="C12" i="3"/>
  <c r="C11" i="3"/>
  <c r="F10" i="3"/>
  <c r="C10" i="3"/>
  <c r="F9" i="3"/>
  <c r="C9" i="3"/>
  <c r="F8" i="3"/>
  <c r="C8" i="3"/>
  <c r="F7" i="3"/>
  <c r="C7" i="3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C15" i="3" s="1"/>
  <c r="K5" i="2"/>
  <c r="K4" i="2"/>
  <c r="K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100-000001000000}">
      <text>
        <r>
          <rPr>
            <sz val="10"/>
            <rFont val="Arial"/>
            <family val="2"/>
          </rPr>
          <t>Сквозной ID: используется в RTM, ЧТЗ, тест-кейсах.</t>
        </r>
      </text>
    </comment>
    <comment ref="K2" authorId="0" shapeId="0" xr:uid="{00000000-0006-0000-0100-000002000000}">
      <text>
        <r>
          <rPr>
            <sz val="10"/>
            <rFont val="Arial"/>
            <family val="2"/>
          </rPr>
          <t>Авто: ✓ — требование согласовано и привязано к цели, готово к переносу в RTM.</t>
        </r>
      </text>
    </comment>
  </commentList>
</comments>
</file>

<file path=xl/sharedStrings.xml><?xml version="1.0" encoding="utf-8"?>
<sst xmlns="http://schemas.openxmlformats.org/spreadsheetml/2006/main" count="194" uniqueCount="129">
  <si>
    <t>РЕЕСТР ТРЕБОВАНИЙ</t>
  </si>
  <si>
    <t>Requirements Register — основа для RTM и трассировки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</si>
  <si>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</si>
  <si>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</si>
  <si>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</si>
  <si>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</si>
  <si>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</si>
  <si>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</si>
  <si>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</si>
  <si>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</si>
  <si>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</si>
  <si>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[Аналитик / Архитектор]</t>
  </si>
  <si>
    <t>Назначение</t>
  </si>
  <si>
    <t>Единый перечень функциональных и нефункциональных требований к Системе. Источник для матрицы трассировки (RTM): из требований протягивается связь к целям, ЧТЗ, тест-кейсам и критериям приёмки. Требования собираются на обследовании и уточняются волнами (progressive elaboration).</t>
  </si>
  <si>
    <t>Состав листов</t>
  </si>
  <si>
    <t>Реестр требований</t>
  </si>
  <si>
    <t>Основной перечень. Одна строка — одно требование.</t>
  </si>
  <si>
    <t>Сводка</t>
  </si>
  <si>
    <t>Аналитика по типам, приоритету, статусу, подсистемам.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</si>
  <si>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</si>
  <si>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</si>
  <si>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</si>
  <si>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</si>
  <si>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</si>
  <si>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ID: REQ-NNN. Этот же ID используется в RTM, ЧТЗ и тест-кейсах — основа сквозной трассировки.</t>
  </si>
  <si>
    <t>•  Формулируйте требование однозначно, измеримо и проверяемо. Тип: бизнес/функциональное/нефункциональное/переходное.</t>
  </si>
  <si>
    <t>•  Приоритет по MoSCoW (Must/Should/Could/Won't). Источник — откуда требование получено.</t>
  </si>
  <si>
    <t>•  Связь с целью (G-ID из Устава, р.4) обеспечивает трассировку «назад» к обоснованию.</t>
  </si>
  <si>
    <t>•  Статус ведите по жизненному циклу: Предложено → Согласовано → Базовая линия → Реализуется → Реализовано → Проверено.</t>
  </si>
  <si>
    <t>•  Поле «Готово к RTM» подсветит требования, готовые к переносу в матрицу трассировки (согласованы и привязаны к цели).</t>
  </si>
  <si>
    <t>При переводе требования в базовую линию оно должно быть однозначным, измеримым, проверяемым и согласованным.</t>
  </si>
  <si>
    <t>REQ ID</t>
  </si>
  <si>
    <t>Требование (формулировка)</t>
  </si>
  <si>
    <t>Тип</t>
  </si>
  <si>
    <t>Приоритет</t>
  </si>
  <si>
    <t>Подсистема</t>
  </si>
  <si>
    <t>Источник</t>
  </si>
  <si>
    <t>Связ. цель (G-ID)</t>
  </si>
  <si>
    <t>Владелец</t>
  </si>
  <si>
    <t>Критерий приёмки</t>
  </si>
  <si>
    <t>Статус</t>
  </si>
  <si>
    <t>Готово к RTM</t>
  </si>
  <si>
    <t>Волна</t>
  </si>
  <si>
    <t>Примечание</t>
  </si>
  <si>
    <t>REQ-001</t>
  </si>
  <si>
    <t>Система обеспечивает единый план счетов и учётную политику для всех юрлиц холдинга</t>
  </si>
  <si>
    <t>Бизнес-требование</t>
  </si>
  <si>
    <t>Must</t>
  </si>
  <si>
    <t>Регламентированный учёт</t>
  </si>
  <si>
    <t>Устав</t>
  </si>
  <si>
    <t>G-01</t>
  </si>
  <si>
    <t>[Владелец процесса]</t>
  </si>
  <si>
    <t>Консолидация без ручных корректировок</t>
  </si>
  <si>
    <t>Согласовано</t>
  </si>
  <si>
    <t>1</t>
  </si>
  <si>
    <t>REQ-002</t>
  </si>
  <si>
    <t>Система рассчитывает фактическую себестоимость по полному производственному циклу</t>
  </si>
  <si>
    <t>Функциональное</t>
  </si>
  <si>
    <t>Производство</t>
  </si>
  <si>
    <t>Обследование</t>
  </si>
  <si>
    <t>G-03</t>
  </si>
  <si>
    <t>Расчёт совпадает с эталоном</t>
  </si>
  <si>
    <t>Базовая линия</t>
  </si>
  <si>
    <t>Связ. с DEV-001</t>
  </si>
  <si>
    <t>REQ-003</t>
  </si>
  <si>
    <t>Система формирует консолидированную отчётность холдинга за срок ≤ [N] раб. дней</t>
  </si>
  <si>
    <t>Нефункциональное</t>
  </si>
  <si>
    <t>Консолидация (1С:УХ)</t>
  </si>
  <si>
    <t>G-02</t>
  </si>
  <si>
    <t>[Финансовая служба]</t>
  </si>
  <si>
    <t>Закрытие ≤ N дней на приёмочных данных</t>
  </si>
  <si>
    <t>Предложено</t>
  </si>
  <si>
    <t>REQ-004</t>
  </si>
  <si>
    <t>Система обеспечивает обмен данными с MES с гарантированной доставкой</t>
  </si>
  <si>
    <t>Should</t>
  </si>
  <si>
    <t>Интеграции</t>
  </si>
  <si>
    <t>Воркшоп</t>
  </si>
  <si>
    <t>[Архитектор]</t>
  </si>
  <si>
    <t>Сверка объёмов без расхождений</t>
  </si>
  <si>
    <t>2</t>
  </si>
  <si>
    <t>ЧТЗ-11</t>
  </si>
  <si>
    <t>REQ-005</t>
  </si>
  <si>
    <t>Перенос остатков выполняется с обязательной сверкой и подтверждением</t>
  </si>
  <si>
    <t>Переходное (миграция/обучение)</t>
  </si>
  <si>
    <t>Миграция</t>
  </si>
  <si>
    <t>[Архитектор данных]</t>
  </si>
  <si>
    <t>Протокол сверки подписан</t>
  </si>
  <si>
    <t>REQ-006</t>
  </si>
  <si>
    <t>Время отклика ключевых операций ≤ [X] сек при пиковой нагрузке [Y] польз.</t>
  </si>
  <si>
    <t>Общесистемное</t>
  </si>
  <si>
    <t>Регламент Заказчика</t>
  </si>
  <si>
    <t>[ИТ-служба]</t>
  </si>
  <si>
    <t>Нагрузочный тест подтверждает</t>
  </si>
  <si>
    <t>Нет привязки к цели</t>
  </si>
  <si>
    <t>Сводка по требованиям</t>
  </si>
  <si>
    <t>Считается автоматически по листу «Реестр требований».</t>
  </si>
  <si>
    <t>По типу</t>
  </si>
  <si>
    <t>По приоритету (MoSCoW)</t>
  </si>
  <si>
    <t>Кол-во</t>
  </si>
  <si>
    <t>Could</t>
  </si>
  <si>
    <t>Won't (этой волны)</t>
  </si>
  <si>
    <t>Требование к решению</t>
  </si>
  <si>
    <t>Требование к проекту</t>
  </si>
  <si>
    <t>По статусу</t>
  </si>
  <si>
    <t>Всего требований</t>
  </si>
  <si>
    <t>Реализуется</t>
  </si>
  <si>
    <t>Реализовано</t>
  </si>
  <si>
    <t>Проверено</t>
  </si>
  <si>
    <t>Отклонено</t>
  </si>
  <si>
    <t>Отложено</t>
  </si>
  <si>
    <t>Тип требования</t>
  </si>
  <si>
    <t>Приоритет (MoSCoW)</t>
  </si>
  <si>
    <t>Финансы и казначейство</t>
  </si>
  <si>
    <t>Закупки/склад</t>
  </si>
  <si>
    <t>Законодательство</t>
  </si>
  <si>
    <t>Продажи</t>
  </si>
  <si>
    <t>Вендор 1С</t>
  </si>
  <si>
    <t>HR/ЗП</t>
  </si>
  <si>
    <t>Заинтересованная сторона</t>
  </si>
  <si>
    <t>НСИ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</si>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</sst>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b/>
      <sz val="11"/>
      <color rgb="FF1F4E79"/>
      <name val="Arial"/>
      <charset val="1"/>
    </font>
    <font>
      <b/>
      <sz val="11"/>
      <color rgb="FF375623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0" xfId="0" applyFont="1"/>
    <xf numFmtId="0" fontId="10" fillId="0" borderId="1" xfId="0" applyFont="1" applyBorder="1"/>
    <xf numFmtId="0" fontId="16" fillId="0" borderId="1" xfId="0" applyFont="1" applyBorder="1"/>
  </cellXfs>
  <cellStyles count="1">
    <cellStyle name="Обычный" xfId="0" builtinId="0"/>
  </cellStyles>
  <dxfs count="2">
    <dxf>
      <font>
        <color rgb="FF843C0C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55.5" customHeight="1" x14ac:dyDescent="0.25">
      <c r="C12" s="6" t="s">
        <v>13</v>
      </c>
    </row>
    <row r="14" spans="2:3" ht="15.75" x14ac:dyDescent="0.25">
      <c r="B14" s="5" t="s">
        <v>14</v>
      </c>
    </row>
    <row r="15" spans="2:3" x14ac:dyDescent="0.25">
      <c r="B15" s="3" t="s">
        <v>15</v>
      </c>
      <c r="C15" s="7" t="s">
        <v>16</v>
      </c>
    </row>
    <row r="16" spans="2:3" x14ac:dyDescent="0.25">
      <c r="B16" s="3" t="s">
        <v>17</v>
      </c>
      <c r="C16" s="7" t="s">
        <v>18</v>
      </c>
    </row>
    <row r="17" spans="2:3" x14ac:dyDescent="0.25">
      <c r="B17" s="3" t="s">
        <v>19</v>
      </c>
      <c r="C17" s="7" t="s">
        <v>20</v>
      </c>
    </row>
    <row r="18" spans="2:3" x14ac:dyDescent="0.25">
      <c r="B18" s="3" t="s">
        <v>21</v>
      </c>
      <c r="C18" s="7" t="s">
        <v>22</v>
      </c>
    </row>
    <row r="20" spans="2:3" ht="15.75" x14ac:dyDescent="0.25">
      <c r="B20" s="5" t="s">
        <v>23</v>
      </c>
    </row>
    <row r="21" spans="2:3" ht="30" customHeight="1" x14ac:dyDescent="0.25">
      <c r="C21" s="7" t="s">
        <v>24</v>
      </c>
    </row>
    <row r="22" spans="2:3" ht="30" customHeight="1" x14ac:dyDescent="0.25">
      <c r="C22" s="7" t="s">
        <v>25</v>
      </c>
    </row>
    <row r="23" spans="2:3" ht="30" customHeight="1" x14ac:dyDescent="0.25">
      <c r="C23" s="7" t="s">
        <v>26</v>
      </c>
    </row>
    <row r="24" spans="2:3" ht="30" customHeight="1" x14ac:dyDescent="0.25">
      <c r="C24" s="7" t="s">
        <v>27</v>
      </c>
    </row>
    <row r="25" spans="2:3" ht="30" customHeight="1" x14ac:dyDescent="0.25">
      <c r="C25" s="7" t="s">
        <v>28</v>
      </c>
    </row>
    <row r="26" spans="2:3" ht="30" customHeight="1" x14ac:dyDescent="0.25">
      <c r="C26" s="7" t="s">
        <v>29</v>
      </c>
    </row>
    <row r="28" spans="2:3" x14ac:dyDescent="0.25">
      <c r="C28" s="8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8.7109375" defaultRowHeight="15" x14ac:dyDescent="0.25"/>
  <cols>
    <col min="1" max="1" width="9" customWidth="1"/>
    <col min="2" max="2" width="42" customWidth="1"/>
    <col min="3" max="3" width="18" customWidth="1"/>
    <col min="4" max="4" width="14" customWidth="1"/>
    <col min="5" max="5" width="18" customWidth="1"/>
    <col min="6" max="6" width="16" customWidth="1"/>
    <col min="7" max="7" width="13" customWidth="1"/>
    <col min="8" max="8" width="18" customWidth="1"/>
    <col min="9" max="9" width="30" customWidth="1"/>
    <col min="10" max="10" width="15" customWidth="1"/>
    <col min="11" max="11" width="12" customWidth="1"/>
    <col min="12" max="12" width="9" customWidth="1"/>
    <col min="13" max="13" width="22" customWidth="1"/>
  </cols>
  <sheetData>
    <row r="1" spans="1:13" ht="18" x14ac:dyDescent="0.25">
      <c r="A1" s="9" t="s">
        <v>15</v>
      </c>
    </row>
    <row r="2" spans="1:13" ht="39.75" customHeight="1" x14ac:dyDescent="0.25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41</v>
      </c>
      <c r="L2" s="10" t="s">
        <v>42</v>
      </c>
      <c r="M2" s="10" t="s">
        <v>43</v>
      </c>
    </row>
    <row r="3" spans="1:13" ht="38.25" x14ac:dyDescent="0.25">
      <c r="A3" s="11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49</v>
      </c>
      <c r="G3" s="11" t="s">
        <v>50</v>
      </c>
      <c r="H3" s="11" t="s">
        <v>51</v>
      </c>
      <c r="I3" s="11" t="s">
        <v>52</v>
      </c>
      <c r="J3" s="11" t="s">
        <v>53</v>
      </c>
      <c r="K3" s="12" t="str">
        <f t="shared" ref="K3:K34" si="0">IF(A3="","",IF(AND(G3&lt;&gt;"",OR(J3="Согласовано",J3="Базовая линия",J3="Реализуется",J3="Реализовано",J3="Проверено")),"✓","—"))</f>
        <v>✓</v>
      </c>
      <c r="L3" s="11" t="s">
        <v>54</v>
      </c>
      <c r="M3" s="11"/>
    </row>
    <row r="4" spans="1:13" ht="38.25" x14ac:dyDescent="0.25">
      <c r="A4" s="11" t="s">
        <v>55</v>
      </c>
      <c r="B4" s="11" t="s">
        <v>56</v>
      </c>
      <c r="C4" s="11" t="s">
        <v>57</v>
      </c>
      <c r="D4" s="11" t="s">
        <v>47</v>
      </c>
      <c r="E4" s="11" t="s">
        <v>58</v>
      </c>
      <c r="F4" s="11" t="s">
        <v>59</v>
      </c>
      <c r="G4" s="11" t="s">
        <v>60</v>
      </c>
      <c r="H4" s="11" t="s">
        <v>51</v>
      </c>
      <c r="I4" s="11" t="s">
        <v>61</v>
      </c>
      <c r="J4" s="11" t="s">
        <v>62</v>
      </c>
      <c r="K4" s="12" t="str">
        <f t="shared" si="0"/>
        <v>✓</v>
      </c>
      <c r="L4" s="11" t="s">
        <v>54</v>
      </c>
      <c r="M4" s="11" t="s">
        <v>63</v>
      </c>
    </row>
    <row r="5" spans="1:13" ht="38.25" x14ac:dyDescent="0.25">
      <c r="A5" s="11" t="s">
        <v>64</v>
      </c>
      <c r="B5" s="11" t="s">
        <v>65</v>
      </c>
      <c r="C5" s="11" t="s">
        <v>66</v>
      </c>
      <c r="D5" s="11" t="s">
        <v>47</v>
      </c>
      <c r="E5" s="11" t="s">
        <v>67</v>
      </c>
      <c r="F5" s="11" t="s">
        <v>49</v>
      </c>
      <c r="G5" s="11" t="s">
        <v>68</v>
      </c>
      <c r="H5" s="11" t="s">
        <v>69</v>
      </c>
      <c r="I5" s="11" t="s">
        <v>70</v>
      </c>
      <c r="J5" s="11" t="s">
        <v>71</v>
      </c>
      <c r="K5" s="12" t="str">
        <f t="shared" si="0"/>
        <v>—</v>
      </c>
      <c r="L5" s="11" t="s">
        <v>54</v>
      </c>
      <c r="M5" s="11"/>
    </row>
    <row r="6" spans="1:13" ht="25.5" x14ac:dyDescent="0.25">
      <c r="A6" s="11" t="s">
        <v>72</v>
      </c>
      <c r="B6" s="11" t="s">
        <v>73</v>
      </c>
      <c r="C6" s="11" t="s">
        <v>57</v>
      </c>
      <c r="D6" s="11" t="s">
        <v>74</v>
      </c>
      <c r="E6" s="11" t="s">
        <v>75</v>
      </c>
      <c r="F6" s="11" t="s">
        <v>76</v>
      </c>
      <c r="G6" s="11" t="s">
        <v>60</v>
      </c>
      <c r="H6" s="11" t="s">
        <v>77</v>
      </c>
      <c r="I6" s="11" t="s">
        <v>78</v>
      </c>
      <c r="J6" s="11" t="s">
        <v>71</v>
      </c>
      <c r="K6" s="12" t="str">
        <f t="shared" si="0"/>
        <v>—</v>
      </c>
      <c r="L6" s="11" t="s">
        <v>79</v>
      </c>
      <c r="M6" s="11" t="s">
        <v>80</v>
      </c>
    </row>
    <row r="7" spans="1:13" ht="38.25" x14ac:dyDescent="0.25">
      <c r="A7" s="11" t="s">
        <v>81</v>
      </c>
      <c r="B7" s="11" t="s">
        <v>82</v>
      </c>
      <c r="C7" s="11" t="s">
        <v>83</v>
      </c>
      <c r="D7" s="11" t="s">
        <v>47</v>
      </c>
      <c r="E7" s="11" t="s">
        <v>84</v>
      </c>
      <c r="F7" s="11" t="s">
        <v>59</v>
      </c>
      <c r="G7" s="11" t="s">
        <v>50</v>
      </c>
      <c r="H7" s="11" t="s">
        <v>85</v>
      </c>
      <c r="I7" s="11" t="s">
        <v>86</v>
      </c>
      <c r="J7" s="11" t="s">
        <v>53</v>
      </c>
      <c r="K7" s="12" t="str">
        <f t="shared" si="0"/>
        <v>✓</v>
      </c>
      <c r="L7" s="11" t="s">
        <v>54</v>
      </c>
      <c r="M7" s="11"/>
    </row>
    <row r="8" spans="1:13" ht="25.5" x14ac:dyDescent="0.25">
      <c r="A8" s="11" t="s">
        <v>87</v>
      </c>
      <c r="B8" s="11" t="s">
        <v>88</v>
      </c>
      <c r="C8" s="11" t="s">
        <v>66</v>
      </c>
      <c r="D8" s="11" t="s">
        <v>74</v>
      </c>
      <c r="E8" s="11" t="s">
        <v>89</v>
      </c>
      <c r="F8" s="11" t="s">
        <v>90</v>
      </c>
      <c r="G8" s="11"/>
      <c r="H8" s="11" t="s">
        <v>91</v>
      </c>
      <c r="I8" s="11" t="s">
        <v>92</v>
      </c>
      <c r="J8" s="11" t="s">
        <v>71</v>
      </c>
      <c r="K8" s="12" t="str">
        <f t="shared" si="0"/>
        <v>—</v>
      </c>
      <c r="L8" s="11" t="s">
        <v>79</v>
      </c>
      <c r="M8" s="11" t="s">
        <v>93</v>
      </c>
    </row>
    <row r="9" spans="1:13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2" t="str">
        <f t="shared" si="0"/>
        <v/>
      </c>
      <c r="L9" s="13"/>
      <c r="M9" s="13"/>
    </row>
    <row r="10" spans="1:13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2" t="str">
        <f t="shared" si="0"/>
        <v/>
      </c>
      <c r="L10" s="13"/>
      <c r="M10" s="13"/>
    </row>
    <row r="11" spans="1:13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2" t="str">
        <f t="shared" si="0"/>
        <v/>
      </c>
      <c r="L11" s="13"/>
      <c r="M11" s="13"/>
    </row>
    <row r="12" spans="1:13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2" t="str">
        <f t="shared" si="0"/>
        <v/>
      </c>
      <c r="L12" s="13"/>
      <c r="M12" s="13"/>
    </row>
    <row r="13" spans="1:13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2" t="str">
        <f t="shared" si="0"/>
        <v/>
      </c>
      <c r="L13" s="13"/>
      <c r="M13" s="13"/>
    </row>
    <row r="14" spans="1:13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2" t="str">
        <f t="shared" si="0"/>
        <v/>
      </c>
      <c r="L14" s="13"/>
      <c r="M14" s="13"/>
    </row>
    <row r="15" spans="1:13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2" t="str">
        <f t="shared" si="0"/>
        <v/>
      </c>
      <c r="L15" s="13"/>
      <c r="M15" s="13"/>
    </row>
    <row r="16" spans="1:13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2" t="str">
        <f t="shared" si="0"/>
        <v/>
      </c>
      <c r="L16" s="13"/>
      <c r="M16" s="13"/>
    </row>
    <row r="17" spans="1:13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2" t="str">
        <f t="shared" si="0"/>
        <v/>
      </c>
      <c r="L17" s="13"/>
      <c r="M17" s="13"/>
    </row>
    <row r="18" spans="1:13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2" t="str">
        <f t="shared" si="0"/>
        <v/>
      </c>
      <c r="L18" s="13"/>
      <c r="M18" s="13"/>
    </row>
    <row r="19" spans="1:13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2" t="str">
        <f t="shared" si="0"/>
        <v/>
      </c>
      <c r="L19" s="13"/>
      <c r="M19" s="13"/>
    </row>
    <row r="20" spans="1:13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2" t="str">
        <f t="shared" si="0"/>
        <v/>
      </c>
      <c r="L20" s="13"/>
      <c r="M20" s="13"/>
    </row>
    <row r="21" spans="1:13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2" t="str">
        <f t="shared" si="0"/>
        <v/>
      </c>
      <c r="L21" s="13"/>
      <c r="M21" s="13"/>
    </row>
    <row r="22" spans="1:13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2" t="str">
        <f t="shared" si="0"/>
        <v/>
      </c>
      <c r="L22" s="13"/>
      <c r="M22" s="13"/>
    </row>
    <row r="23" spans="1:13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2" t="str">
        <f t="shared" si="0"/>
        <v/>
      </c>
      <c r="L23" s="13"/>
      <c r="M23" s="13"/>
    </row>
    <row r="24" spans="1:13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2" t="str">
        <f t="shared" si="0"/>
        <v/>
      </c>
      <c r="L24" s="13"/>
      <c r="M24" s="13"/>
    </row>
    <row r="25" spans="1:13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2" t="str">
        <f t="shared" si="0"/>
        <v/>
      </c>
      <c r="L25" s="13"/>
      <c r="M25" s="13"/>
    </row>
    <row r="26" spans="1:13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2" t="str">
        <f t="shared" si="0"/>
        <v/>
      </c>
      <c r="L26" s="13"/>
      <c r="M26" s="13"/>
    </row>
    <row r="27" spans="1:13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2" t="str">
        <f t="shared" si="0"/>
        <v/>
      </c>
      <c r="L27" s="13"/>
      <c r="M27" s="13"/>
    </row>
    <row r="28" spans="1:13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2" t="str">
        <f t="shared" si="0"/>
        <v/>
      </c>
      <c r="L28" s="13"/>
      <c r="M28" s="13"/>
    </row>
    <row r="29" spans="1:13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2" t="str">
        <f t="shared" si="0"/>
        <v/>
      </c>
      <c r="L29" s="13"/>
      <c r="M29" s="13"/>
    </row>
    <row r="30" spans="1:13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2" t="str">
        <f t="shared" si="0"/>
        <v/>
      </c>
      <c r="L30" s="13"/>
      <c r="M30" s="13"/>
    </row>
    <row r="31" spans="1:13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2" t="str">
        <f t="shared" si="0"/>
        <v/>
      </c>
      <c r="L31" s="13"/>
      <c r="M31" s="13"/>
    </row>
    <row r="32" spans="1:13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2" t="str">
        <f t="shared" si="0"/>
        <v/>
      </c>
      <c r="L32" s="13"/>
      <c r="M32" s="13"/>
    </row>
    <row r="33" spans="1:13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2" t="str">
        <f t="shared" si="0"/>
        <v/>
      </c>
      <c r="L33" s="13"/>
      <c r="M33" s="13"/>
    </row>
    <row r="34" spans="1:13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2" t="str">
        <f t="shared" si="0"/>
        <v/>
      </c>
      <c r="L34" s="13"/>
      <c r="M34" s="13"/>
    </row>
    <row r="35" spans="1:13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2" t="str">
        <f t="shared" ref="K35:K66" si="1">IF(A35="","",IF(AND(G35&lt;&gt;"",OR(J35="Согласовано",J35="Базовая линия",J35="Реализуется",J35="Реализовано",J35="Проверено")),"✓","—"))</f>
        <v/>
      </c>
      <c r="L35" s="13"/>
      <c r="M35" s="13"/>
    </row>
    <row r="36" spans="1:13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2" t="str">
        <f t="shared" si="1"/>
        <v/>
      </c>
      <c r="L36" s="13"/>
      <c r="M36" s="13"/>
    </row>
    <row r="37" spans="1:13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2" t="str">
        <f t="shared" si="1"/>
        <v/>
      </c>
      <c r="L37" s="13"/>
      <c r="M37" s="13"/>
    </row>
    <row r="38" spans="1:13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2" t="str">
        <f t="shared" si="1"/>
        <v/>
      </c>
      <c r="L38" s="13"/>
      <c r="M38" s="13"/>
    </row>
    <row r="39" spans="1:1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2" t="str">
        <f t="shared" si="1"/>
        <v/>
      </c>
      <c r="L39" s="13"/>
      <c r="M39" s="13"/>
    </row>
    <row r="40" spans="1:1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2" t="str">
        <f t="shared" si="1"/>
        <v/>
      </c>
      <c r="L40" s="13"/>
      <c r="M40" s="13"/>
    </row>
    <row r="41" spans="1:13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2" t="str">
        <f t="shared" si="1"/>
        <v/>
      </c>
      <c r="L41" s="13"/>
      <c r="M41" s="13"/>
    </row>
    <row r="42" spans="1:13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2" t="str">
        <f t="shared" si="1"/>
        <v/>
      </c>
      <c r="L42" s="13"/>
      <c r="M42" s="13"/>
    </row>
    <row r="43" spans="1:13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2" t="str">
        <f t="shared" si="1"/>
        <v/>
      </c>
      <c r="L43" s="13"/>
      <c r="M43" s="13"/>
    </row>
    <row r="44" spans="1:13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2" t="str">
        <f t="shared" si="1"/>
        <v/>
      </c>
      <c r="L44" s="13"/>
      <c r="M44" s="13"/>
    </row>
    <row r="45" spans="1:13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2" t="str">
        <f t="shared" si="1"/>
        <v/>
      </c>
      <c r="L45" s="13"/>
      <c r="M45" s="13"/>
    </row>
    <row r="46" spans="1:13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2" t="str">
        <f t="shared" si="1"/>
        <v/>
      </c>
      <c r="L46" s="13"/>
      <c r="M46" s="13"/>
    </row>
    <row r="47" spans="1:13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2" t="str">
        <f t="shared" si="1"/>
        <v/>
      </c>
      <c r="L47" s="13"/>
      <c r="M47" s="13"/>
    </row>
    <row r="48" spans="1:13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2" t="str">
        <f t="shared" si="1"/>
        <v/>
      </c>
      <c r="L48" s="13"/>
      <c r="M48" s="13"/>
    </row>
    <row r="49" spans="1:13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2" t="str">
        <f t="shared" si="1"/>
        <v/>
      </c>
      <c r="L49" s="13"/>
      <c r="M49" s="13"/>
    </row>
    <row r="50" spans="1:13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2" t="str">
        <f t="shared" si="1"/>
        <v/>
      </c>
      <c r="L50" s="13"/>
      <c r="M50" s="13"/>
    </row>
    <row r="51" spans="1:13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2" t="str">
        <f t="shared" si="1"/>
        <v/>
      </c>
      <c r="L51" s="13"/>
      <c r="M51" s="13"/>
    </row>
    <row r="52" spans="1:13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2" t="str">
        <f t="shared" si="1"/>
        <v/>
      </c>
      <c r="L52" s="13"/>
      <c r="M52" s="13"/>
    </row>
    <row r="53" spans="1:13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2" t="str">
        <f t="shared" si="1"/>
        <v/>
      </c>
      <c r="L53" s="13"/>
      <c r="M53" s="13"/>
    </row>
    <row r="54" spans="1:13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2" t="str">
        <f t="shared" si="1"/>
        <v/>
      </c>
      <c r="L54" s="13"/>
      <c r="M54" s="13"/>
    </row>
    <row r="55" spans="1:13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2" t="str">
        <f t="shared" si="1"/>
        <v/>
      </c>
      <c r="L55" s="13"/>
      <c r="M55" s="13"/>
    </row>
    <row r="56" spans="1:13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2" t="str">
        <f t="shared" si="1"/>
        <v/>
      </c>
      <c r="L56" s="13"/>
      <c r="M56" s="13"/>
    </row>
    <row r="57" spans="1:13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2" t="str">
        <f t="shared" si="1"/>
        <v/>
      </c>
      <c r="L57" s="13"/>
      <c r="M57" s="13"/>
    </row>
    <row r="58" spans="1:13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2" t="str">
        <f t="shared" si="1"/>
        <v/>
      </c>
      <c r="L58" s="13"/>
      <c r="M58" s="13"/>
    </row>
    <row r="59" spans="1:13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2" t="str">
        <f t="shared" si="1"/>
        <v/>
      </c>
      <c r="L59" s="13"/>
      <c r="M59" s="13"/>
    </row>
    <row r="60" spans="1:13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2" t="str">
        <f t="shared" si="1"/>
        <v/>
      </c>
      <c r="L60" s="13"/>
      <c r="M60" s="13"/>
    </row>
    <row r="61" spans="1:13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2" t="str">
        <f t="shared" si="1"/>
        <v/>
      </c>
      <c r="L61" s="13"/>
      <c r="M61" s="13"/>
    </row>
    <row r="62" spans="1:13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2" t="str">
        <f t="shared" si="1"/>
        <v/>
      </c>
      <c r="L62" s="13"/>
      <c r="M62" s="13"/>
    </row>
    <row r="63" spans="1:13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2" t="str">
        <f t="shared" si="1"/>
        <v/>
      </c>
      <c r="L63" s="13"/>
      <c r="M63" s="13"/>
    </row>
    <row r="64" spans="1:13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2" t="str">
        <f t="shared" si="1"/>
        <v/>
      </c>
      <c r="L64" s="13"/>
      <c r="M64" s="13"/>
    </row>
    <row r="65" spans="1:13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2" t="str">
        <f t="shared" si="1"/>
        <v/>
      </c>
      <c r="L65" s="13"/>
      <c r="M65" s="13"/>
    </row>
    <row r="66" spans="1:13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2" t="str">
        <f t="shared" si="1"/>
        <v/>
      </c>
      <c r="L66" s="13"/>
      <c r="M66" s="13"/>
    </row>
    <row r="67" spans="1:13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2" t="str">
        <f t="shared" ref="K67:K98" si="2">IF(A67="","",IF(AND(G67&lt;&gt;"",OR(J67="Согласовано",J67="Базовая линия",J67="Реализуется",J67="Реализовано",J67="Проверено")),"✓","—"))</f>
        <v/>
      </c>
      <c r="L67" s="13"/>
      <c r="M67" s="13"/>
    </row>
    <row r="68" spans="1:13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2" t="str">
        <f t="shared" si="2"/>
        <v/>
      </c>
      <c r="L68" s="13"/>
      <c r="M68" s="13"/>
    </row>
    <row r="69" spans="1:13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2" t="str">
        <f t="shared" si="2"/>
        <v/>
      </c>
      <c r="L69" s="13"/>
      <c r="M69" s="13"/>
    </row>
    <row r="70" spans="1:13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2" t="str">
        <f t="shared" si="2"/>
        <v/>
      </c>
      <c r="L70" s="13"/>
      <c r="M70" s="13"/>
    </row>
    <row r="71" spans="1:13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2" t="str">
        <f t="shared" si="2"/>
        <v/>
      </c>
      <c r="L71" s="13"/>
      <c r="M71" s="13"/>
    </row>
    <row r="72" spans="1:13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2" t="str">
        <f t="shared" si="2"/>
        <v/>
      </c>
      <c r="L72" s="13"/>
      <c r="M72" s="13"/>
    </row>
    <row r="73" spans="1:13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2" t="str">
        <f t="shared" si="2"/>
        <v/>
      </c>
      <c r="L73" s="13"/>
      <c r="M73" s="13"/>
    </row>
    <row r="74" spans="1:13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2" t="str">
        <f t="shared" si="2"/>
        <v/>
      </c>
      <c r="L74" s="13"/>
      <c r="M74" s="13"/>
    </row>
    <row r="75" spans="1:13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2" t="str">
        <f t="shared" si="2"/>
        <v/>
      </c>
      <c r="L75" s="13"/>
      <c r="M75" s="13"/>
    </row>
    <row r="76" spans="1:13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2" t="str">
        <f t="shared" si="2"/>
        <v/>
      </c>
      <c r="L76" s="13"/>
      <c r="M76" s="13"/>
    </row>
    <row r="77" spans="1:13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2" t="str">
        <f t="shared" si="2"/>
        <v/>
      </c>
      <c r="L77" s="13"/>
      <c r="M77" s="13"/>
    </row>
    <row r="78" spans="1:13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2" t="str">
        <f t="shared" si="2"/>
        <v/>
      </c>
      <c r="L78" s="13"/>
      <c r="M78" s="13"/>
    </row>
    <row r="79" spans="1:13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2" t="str">
        <f t="shared" si="2"/>
        <v/>
      </c>
      <c r="L79" s="13"/>
      <c r="M79" s="13"/>
    </row>
    <row r="80" spans="1:13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2" t="str">
        <f t="shared" si="2"/>
        <v/>
      </c>
      <c r="L80" s="13"/>
      <c r="M80" s="13"/>
    </row>
    <row r="81" spans="1:13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2" t="str">
        <f t="shared" si="2"/>
        <v/>
      </c>
      <c r="L81" s="13"/>
      <c r="M81" s="13"/>
    </row>
    <row r="82" spans="1:13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2" t="str">
        <f t="shared" si="2"/>
        <v/>
      </c>
      <c r="L82" s="13"/>
      <c r="M82" s="13"/>
    </row>
    <row r="83" spans="1:13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2" t="str">
        <f t="shared" si="2"/>
        <v/>
      </c>
      <c r="L83" s="13"/>
      <c r="M83" s="13"/>
    </row>
    <row r="84" spans="1:13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2" t="str">
        <f t="shared" si="2"/>
        <v/>
      </c>
      <c r="L84" s="13"/>
      <c r="M84" s="13"/>
    </row>
    <row r="85" spans="1:13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2" t="str">
        <f t="shared" si="2"/>
        <v/>
      </c>
      <c r="L85" s="13"/>
      <c r="M85" s="13"/>
    </row>
    <row r="86" spans="1:13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2" t="str">
        <f t="shared" si="2"/>
        <v/>
      </c>
      <c r="L86" s="13"/>
      <c r="M86" s="13"/>
    </row>
    <row r="87" spans="1:13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2" t="str">
        <f t="shared" si="2"/>
        <v/>
      </c>
      <c r="L87" s="13"/>
      <c r="M87" s="13"/>
    </row>
    <row r="88" spans="1:13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2" t="str">
        <f t="shared" si="2"/>
        <v/>
      </c>
      <c r="L88" s="13"/>
      <c r="M88" s="13"/>
    </row>
    <row r="89" spans="1:13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2" t="str">
        <f t="shared" si="2"/>
        <v/>
      </c>
      <c r="L89" s="13"/>
      <c r="M89" s="13"/>
    </row>
    <row r="90" spans="1:13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2" t="str">
        <f t="shared" si="2"/>
        <v/>
      </c>
      <c r="L90" s="13"/>
      <c r="M90" s="13"/>
    </row>
    <row r="91" spans="1:13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2" t="str">
        <f t="shared" si="2"/>
        <v/>
      </c>
      <c r="L91" s="13"/>
      <c r="M91" s="13"/>
    </row>
    <row r="92" spans="1:13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2" t="str">
        <f t="shared" si="2"/>
        <v/>
      </c>
      <c r="L92" s="13"/>
      <c r="M92" s="13"/>
    </row>
    <row r="93" spans="1:13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2" t="str">
        <f t="shared" si="2"/>
        <v/>
      </c>
      <c r="L93" s="13"/>
      <c r="M93" s="13"/>
    </row>
    <row r="94" spans="1:1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2" t="str">
        <f t="shared" si="2"/>
        <v/>
      </c>
      <c r="L94" s="13"/>
      <c r="M94" s="13"/>
    </row>
    <row r="95" spans="1:13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2" t="str">
        <f t="shared" si="2"/>
        <v/>
      </c>
      <c r="L95" s="13"/>
      <c r="M95" s="13"/>
    </row>
    <row r="96" spans="1:1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2" t="str">
        <f t="shared" si="2"/>
        <v/>
      </c>
      <c r="L96" s="13"/>
      <c r="M96" s="13"/>
    </row>
    <row r="97" spans="1:1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2" t="str">
        <f t="shared" si="2"/>
        <v/>
      </c>
      <c r="L97" s="13"/>
      <c r="M97" s="13"/>
    </row>
    <row r="98" spans="1:1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2" t="str">
        <f t="shared" si="2"/>
        <v/>
      </c>
      <c r="L98" s="13"/>
      <c r="M98" s="13"/>
    </row>
    <row r="99" spans="1:1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2" t="str">
        <f t="shared" ref="K99:K130" si="3">IF(A99="","",IF(AND(G99&lt;&gt;"",OR(J99="Согласовано",J99="Базовая линия",J99="Реализуется",J99="Реализовано",J99="Проверено")),"✓","—"))</f>
        <v/>
      </c>
      <c r="L99" s="13"/>
      <c r="M99" s="13"/>
    </row>
    <row r="100" spans="1:1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2" t="str">
        <f t="shared" si="3"/>
        <v/>
      </c>
      <c r="L100" s="13"/>
      <c r="M100" s="13"/>
    </row>
    <row r="101" spans="1:1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2" t="str">
        <f t="shared" si="3"/>
        <v/>
      </c>
      <c r="L101" s="13"/>
      <c r="M101" s="13"/>
    </row>
    <row r="102" spans="1:1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2" t="str">
        <f t="shared" si="3"/>
        <v/>
      </c>
      <c r="L102" s="13"/>
      <c r="M102" s="13"/>
    </row>
    <row r="103" spans="1:1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2" t="str">
        <f t="shared" si="3"/>
        <v/>
      </c>
      <c r="L103" s="13"/>
      <c r="M103" s="13"/>
    </row>
    <row r="104" spans="1:1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2" t="str">
        <f t="shared" si="3"/>
        <v/>
      </c>
      <c r="L104" s="13"/>
      <c r="M104" s="13"/>
    </row>
    <row r="105" spans="1:1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2" t="str">
        <f t="shared" si="3"/>
        <v/>
      </c>
      <c r="L105" s="13"/>
      <c r="M105" s="13"/>
    </row>
    <row r="106" spans="1:1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2" t="str">
        <f t="shared" si="3"/>
        <v/>
      </c>
      <c r="L106" s="13"/>
      <c r="M106" s="13"/>
    </row>
    <row r="107" spans="1:1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2" t="str">
        <f t="shared" si="3"/>
        <v/>
      </c>
      <c r="L107" s="13"/>
      <c r="M107" s="13"/>
    </row>
    <row r="108" spans="1:1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2" t="str">
        <f t="shared" si="3"/>
        <v/>
      </c>
      <c r="L108" s="13"/>
      <c r="M108" s="13"/>
    </row>
    <row r="109" spans="1:1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2" t="str">
        <f t="shared" si="3"/>
        <v/>
      </c>
      <c r="L109" s="13"/>
      <c r="M109" s="13"/>
    </row>
    <row r="110" spans="1:1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2" t="str">
        <f t="shared" si="3"/>
        <v/>
      </c>
      <c r="L110" s="13"/>
      <c r="M110" s="13"/>
    </row>
    <row r="111" spans="1:1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2" t="str">
        <f t="shared" si="3"/>
        <v/>
      </c>
      <c r="L111" s="13"/>
      <c r="M111" s="13"/>
    </row>
    <row r="112" spans="1:1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2" t="str">
        <f t="shared" si="3"/>
        <v/>
      </c>
      <c r="L112" s="13"/>
      <c r="M112" s="13"/>
    </row>
    <row r="113" spans="1:1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2" t="str">
        <f t="shared" si="3"/>
        <v/>
      </c>
      <c r="L113" s="13"/>
      <c r="M113" s="13"/>
    </row>
    <row r="114" spans="1:1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2" t="str">
        <f t="shared" si="3"/>
        <v/>
      </c>
      <c r="L114" s="13"/>
      <c r="M114" s="13"/>
    </row>
    <row r="115" spans="1:1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2" t="str">
        <f t="shared" si="3"/>
        <v/>
      </c>
      <c r="L115" s="13"/>
      <c r="M115" s="13"/>
    </row>
    <row r="116" spans="1:1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2" t="str">
        <f t="shared" si="3"/>
        <v/>
      </c>
      <c r="L116" s="13"/>
      <c r="M116" s="13"/>
    </row>
    <row r="117" spans="1:1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2" t="str">
        <f t="shared" si="3"/>
        <v/>
      </c>
      <c r="L117" s="13"/>
      <c r="M117" s="13"/>
    </row>
    <row r="118" spans="1:1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2" t="str">
        <f t="shared" si="3"/>
        <v/>
      </c>
      <c r="L118" s="13"/>
      <c r="M118" s="13"/>
    </row>
    <row r="119" spans="1:1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2" t="str">
        <f t="shared" si="3"/>
        <v/>
      </c>
      <c r="L119" s="13"/>
      <c r="M119" s="13"/>
    </row>
    <row r="120" spans="1:1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2" t="str">
        <f t="shared" si="3"/>
        <v/>
      </c>
      <c r="L120" s="13"/>
      <c r="M120" s="13"/>
    </row>
    <row r="121" spans="1:1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2" t="str">
        <f t="shared" si="3"/>
        <v/>
      </c>
      <c r="L121" s="13"/>
      <c r="M121" s="13"/>
    </row>
    <row r="122" spans="1:1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2" t="str">
        <f t="shared" si="3"/>
        <v/>
      </c>
      <c r="L122" s="13"/>
      <c r="M122" s="13"/>
    </row>
    <row r="123" spans="1:1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2" t="str">
        <f t="shared" si="3"/>
        <v/>
      </c>
      <c r="L123" s="13"/>
      <c r="M123" s="13"/>
    </row>
    <row r="124" spans="1:1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2" t="str">
        <f t="shared" si="3"/>
        <v/>
      </c>
      <c r="L124" s="13"/>
      <c r="M124" s="13"/>
    </row>
    <row r="125" spans="1:1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2" t="str">
        <f t="shared" si="3"/>
        <v/>
      </c>
      <c r="L125" s="13"/>
      <c r="M125" s="13"/>
    </row>
    <row r="126" spans="1:1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2" t="str">
        <f t="shared" si="3"/>
        <v/>
      </c>
      <c r="L126" s="13"/>
      <c r="M126" s="13"/>
    </row>
    <row r="127" spans="1:1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2" t="str">
        <f t="shared" si="3"/>
        <v/>
      </c>
      <c r="L127" s="13"/>
      <c r="M127" s="13"/>
    </row>
    <row r="128" spans="1:1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2" t="str">
        <f t="shared" si="3"/>
        <v/>
      </c>
      <c r="L128" s="13"/>
      <c r="M128" s="13"/>
    </row>
    <row r="129" spans="1:1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2" t="str">
        <f t="shared" si="3"/>
        <v/>
      </c>
      <c r="L129" s="13"/>
      <c r="M129" s="13"/>
    </row>
    <row r="130" spans="1:1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2" t="str">
        <f t="shared" si="3"/>
        <v/>
      </c>
      <c r="L130" s="13"/>
      <c r="M130" s="13"/>
    </row>
    <row r="131" spans="1:1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2" t="str">
        <f t="shared" ref="K131:K162" si="4">IF(A131="","",IF(AND(G131&lt;&gt;"",OR(J131="Согласовано",J131="Базовая линия",J131="Реализуется",J131="Реализовано",J131="Проверено")),"✓","—"))</f>
        <v/>
      </c>
      <c r="L131" s="13"/>
      <c r="M131" s="13"/>
    </row>
    <row r="132" spans="1:1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2" t="str">
        <f t="shared" si="4"/>
        <v/>
      </c>
      <c r="L132" s="13"/>
      <c r="M132" s="13"/>
    </row>
    <row r="133" spans="1:1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2" t="str">
        <f t="shared" si="4"/>
        <v/>
      </c>
      <c r="L133" s="13"/>
      <c r="M133" s="13"/>
    </row>
    <row r="134" spans="1:1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2" t="str">
        <f t="shared" si="4"/>
        <v/>
      </c>
      <c r="L134" s="13"/>
      <c r="M134" s="13"/>
    </row>
    <row r="135" spans="1:1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2" t="str">
        <f t="shared" si="4"/>
        <v/>
      </c>
      <c r="L135" s="13"/>
      <c r="M135" s="13"/>
    </row>
    <row r="136" spans="1:1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2" t="str">
        <f t="shared" si="4"/>
        <v/>
      </c>
      <c r="L136" s="13"/>
      <c r="M136" s="13"/>
    </row>
    <row r="137" spans="1:1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2" t="str">
        <f t="shared" si="4"/>
        <v/>
      </c>
      <c r="L137" s="13"/>
      <c r="M137" s="13"/>
    </row>
    <row r="138" spans="1:1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2" t="str">
        <f t="shared" si="4"/>
        <v/>
      </c>
      <c r="L138" s="13"/>
      <c r="M138" s="13"/>
    </row>
    <row r="139" spans="1:1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2" t="str">
        <f t="shared" si="4"/>
        <v/>
      </c>
      <c r="L139" s="13"/>
      <c r="M139" s="13"/>
    </row>
    <row r="140" spans="1:1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2" t="str">
        <f t="shared" si="4"/>
        <v/>
      </c>
      <c r="L140" s="13"/>
      <c r="M140" s="13"/>
    </row>
    <row r="141" spans="1:1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2" t="str">
        <f t="shared" si="4"/>
        <v/>
      </c>
      <c r="L141" s="13"/>
      <c r="M141" s="13"/>
    </row>
    <row r="142" spans="1:1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2" t="str">
        <f t="shared" si="4"/>
        <v/>
      </c>
      <c r="L142" s="13"/>
      <c r="M142" s="13"/>
    </row>
    <row r="143" spans="1:1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2" t="str">
        <f t="shared" si="4"/>
        <v/>
      </c>
      <c r="L143" s="13"/>
      <c r="M143" s="13"/>
    </row>
    <row r="144" spans="1:1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2" t="str">
        <f t="shared" si="4"/>
        <v/>
      </c>
      <c r="L144" s="13"/>
      <c r="M144" s="13"/>
    </row>
    <row r="145" spans="1:1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2" t="str">
        <f t="shared" si="4"/>
        <v/>
      </c>
      <c r="L145" s="13"/>
      <c r="M145" s="13"/>
    </row>
    <row r="146" spans="1:1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2" t="str">
        <f t="shared" si="4"/>
        <v/>
      </c>
      <c r="L146" s="13"/>
      <c r="M146" s="13"/>
    </row>
    <row r="147" spans="1:1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2" t="str">
        <f t="shared" si="4"/>
        <v/>
      </c>
      <c r="L147" s="13"/>
      <c r="M147" s="13"/>
    </row>
    <row r="148" spans="1:1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2" t="str">
        <f t="shared" si="4"/>
        <v/>
      </c>
      <c r="L148" s="13"/>
      <c r="M148" s="13"/>
    </row>
    <row r="149" spans="1:1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2" t="str">
        <f t="shared" si="4"/>
        <v/>
      </c>
      <c r="L149" s="13"/>
      <c r="M149" s="13"/>
    </row>
    <row r="150" spans="1:1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2" t="str">
        <f t="shared" si="4"/>
        <v/>
      </c>
      <c r="L150" s="13"/>
      <c r="M150" s="13"/>
    </row>
    <row r="151" spans="1:1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2" t="str">
        <f t="shared" si="4"/>
        <v/>
      </c>
      <c r="L151" s="13"/>
      <c r="M151" s="13"/>
    </row>
    <row r="152" spans="1:1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2" t="str">
        <f t="shared" si="4"/>
        <v/>
      </c>
      <c r="L152" s="13"/>
      <c r="M152" s="13"/>
    </row>
    <row r="153" spans="1:1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2" t="str">
        <f t="shared" si="4"/>
        <v/>
      </c>
      <c r="L153" s="13"/>
      <c r="M153" s="13"/>
    </row>
    <row r="154" spans="1:1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2" t="str">
        <f t="shared" si="4"/>
        <v/>
      </c>
      <c r="L154" s="13"/>
      <c r="M154" s="13"/>
    </row>
    <row r="155" spans="1:1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2" t="str">
        <f t="shared" si="4"/>
        <v/>
      </c>
      <c r="L155" s="13"/>
      <c r="M155" s="13"/>
    </row>
    <row r="156" spans="1:1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2" t="str">
        <f t="shared" si="4"/>
        <v/>
      </c>
      <c r="L156" s="13"/>
      <c r="M156" s="13"/>
    </row>
    <row r="157" spans="1:1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2" t="str">
        <f t="shared" si="4"/>
        <v/>
      </c>
      <c r="L157" s="13"/>
      <c r="M157" s="13"/>
    </row>
    <row r="158" spans="1:1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2" t="str">
        <f t="shared" si="4"/>
        <v/>
      </c>
      <c r="L158" s="13"/>
      <c r="M158" s="13"/>
    </row>
    <row r="159" spans="1:1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2" t="str">
        <f t="shared" si="4"/>
        <v/>
      </c>
      <c r="L159" s="13"/>
      <c r="M159" s="13"/>
    </row>
    <row r="160" spans="1:1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2" t="str">
        <f t="shared" si="4"/>
        <v/>
      </c>
      <c r="L160" s="13"/>
      <c r="M160" s="13"/>
    </row>
    <row r="161" spans="1:1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2" t="str">
        <f t="shared" si="4"/>
        <v/>
      </c>
      <c r="L161" s="13"/>
      <c r="M161" s="13"/>
    </row>
    <row r="162" spans="1:1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2" t="str">
        <f t="shared" si="4"/>
        <v/>
      </c>
      <c r="L162" s="13"/>
      <c r="M162" s="13"/>
    </row>
    <row r="163" spans="1:1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2" t="str">
        <f t="shared" ref="K163:K194" si="5">IF(A163="","",IF(AND(G163&lt;&gt;"",OR(J163="Согласовано",J163="Базовая линия",J163="Реализуется",J163="Реализовано",J163="Проверено")),"✓","—"))</f>
        <v/>
      </c>
      <c r="L163" s="13"/>
      <c r="M163" s="13"/>
    </row>
    <row r="164" spans="1:1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2" t="str">
        <f t="shared" si="5"/>
        <v/>
      </c>
      <c r="L164" s="13"/>
      <c r="M164" s="13"/>
    </row>
    <row r="165" spans="1:1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2" t="str">
        <f t="shared" si="5"/>
        <v/>
      </c>
      <c r="L165" s="13"/>
      <c r="M165" s="13"/>
    </row>
    <row r="166" spans="1:1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2" t="str">
        <f t="shared" si="5"/>
        <v/>
      </c>
      <c r="L166" s="13"/>
      <c r="M166" s="13"/>
    </row>
    <row r="167" spans="1:1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2" t="str">
        <f t="shared" si="5"/>
        <v/>
      </c>
      <c r="L167" s="13"/>
      <c r="M167" s="13"/>
    </row>
    <row r="168" spans="1:1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2" t="str">
        <f t="shared" si="5"/>
        <v/>
      </c>
      <c r="L168" s="13"/>
      <c r="M168" s="13"/>
    </row>
    <row r="169" spans="1:1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2" t="str">
        <f t="shared" si="5"/>
        <v/>
      </c>
      <c r="L169" s="13"/>
      <c r="M169" s="13"/>
    </row>
    <row r="170" spans="1:1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2" t="str">
        <f t="shared" si="5"/>
        <v/>
      </c>
      <c r="L170" s="13"/>
      <c r="M170" s="13"/>
    </row>
    <row r="171" spans="1:1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2" t="str">
        <f t="shared" si="5"/>
        <v/>
      </c>
      <c r="L171" s="13"/>
      <c r="M171" s="13"/>
    </row>
    <row r="172" spans="1:1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2" t="str">
        <f t="shared" si="5"/>
        <v/>
      </c>
      <c r="L172" s="13"/>
      <c r="M172" s="13"/>
    </row>
    <row r="173" spans="1:1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2" t="str">
        <f t="shared" si="5"/>
        <v/>
      </c>
      <c r="L173" s="13"/>
      <c r="M173" s="13"/>
    </row>
    <row r="174" spans="1:1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2" t="str">
        <f t="shared" si="5"/>
        <v/>
      </c>
      <c r="L174" s="13"/>
      <c r="M174" s="13"/>
    </row>
    <row r="175" spans="1:1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2" t="str">
        <f t="shared" si="5"/>
        <v/>
      </c>
      <c r="L175" s="13"/>
      <c r="M175" s="13"/>
    </row>
    <row r="176" spans="1:1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2" t="str">
        <f t="shared" si="5"/>
        <v/>
      </c>
      <c r="L176" s="13"/>
      <c r="M176" s="13"/>
    </row>
    <row r="177" spans="1:1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2" t="str">
        <f t="shared" si="5"/>
        <v/>
      </c>
      <c r="L177" s="13"/>
      <c r="M177" s="13"/>
    </row>
    <row r="178" spans="1:1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2" t="str">
        <f t="shared" si="5"/>
        <v/>
      </c>
      <c r="L178" s="13"/>
      <c r="M178" s="13"/>
    </row>
    <row r="179" spans="1:1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2" t="str">
        <f t="shared" si="5"/>
        <v/>
      </c>
      <c r="L179" s="13"/>
      <c r="M179" s="13"/>
    </row>
    <row r="180" spans="1:1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2" t="str">
        <f t="shared" si="5"/>
        <v/>
      </c>
      <c r="L180" s="13"/>
      <c r="M180" s="13"/>
    </row>
    <row r="181" spans="1:1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2" t="str">
        <f t="shared" si="5"/>
        <v/>
      </c>
      <c r="L181" s="13"/>
      <c r="M181" s="13"/>
    </row>
    <row r="182" spans="1:1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2" t="str">
        <f t="shared" si="5"/>
        <v/>
      </c>
      <c r="L182" s="13"/>
      <c r="M182" s="13"/>
    </row>
    <row r="183" spans="1:1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2" t="str">
        <f t="shared" si="5"/>
        <v/>
      </c>
      <c r="L183" s="13"/>
      <c r="M183" s="13"/>
    </row>
    <row r="184" spans="1:1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2" t="str">
        <f t="shared" si="5"/>
        <v/>
      </c>
      <c r="L184" s="13"/>
      <c r="M184" s="13"/>
    </row>
    <row r="185" spans="1:1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2" t="str">
        <f t="shared" si="5"/>
        <v/>
      </c>
      <c r="L185" s="13"/>
      <c r="M185" s="13"/>
    </row>
    <row r="186" spans="1:1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2" t="str">
        <f t="shared" si="5"/>
        <v/>
      </c>
      <c r="L186" s="13"/>
      <c r="M186" s="13"/>
    </row>
    <row r="187" spans="1:1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2" t="str">
        <f t="shared" si="5"/>
        <v/>
      </c>
      <c r="L187" s="13"/>
      <c r="M187" s="13"/>
    </row>
    <row r="188" spans="1:1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2" t="str">
        <f t="shared" si="5"/>
        <v/>
      </c>
      <c r="L188" s="13"/>
      <c r="M188" s="13"/>
    </row>
    <row r="189" spans="1:1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2" t="str">
        <f t="shared" si="5"/>
        <v/>
      </c>
      <c r="L189" s="13"/>
      <c r="M189" s="13"/>
    </row>
    <row r="190" spans="1:1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2" t="str">
        <f t="shared" si="5"/>
        <v/>
      </c>
      <c r="L190" s="13"/>
      <c r="M190" s="13"/>
    </row>
    <row r="191" spans="1:1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2" t="str">
        <f t="shared" si="5"/>
        <v/>
      </c>
      <c r="L191" s="13"/>
      <c r="M191" s="13"/>
    </row>
    <row r="192" spans="1:1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2" t="str">
        <f t="shared" si="5"/>
        <v/>
      </c>
      <c r="L192" s="13"/>
      <c r="M192" s="13"/>
    </row>
    <row r="193" spans="1:1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2" t="str">
        <f t="shared" si="5"/>
        <v/>
      </c>
      <c r="L193" s="13"/>
      <c r="M193" s="13"/>
    </row>
    <row r="194" spans="1:1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2" t="str">
        <f t="shared" si="5"/>
        <v/>
      </c>
      <c r="L194" s="13"/>
      <c r="M194" s="13"/>
    </row>
    <row r="195" spans="1:1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2" t="str">
        <f t="shared" ref="K195:K226" si="6">IF(A195="","",IF(AND(G195&lt;&gt;"",OR(J195="Согласовано",J195="Базовая линия",J195="Реализуется",J195="Реализовано",J195="Проверено")),"✓","—"))</f>
        <v/>
      </c>
      <c r="L195" s="13"/>
      <c r="M195" s="13"/>
    </row>
    <row r="196" spans="1:1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2" t="str">
        <f t="shared" si="6"/>
        <v/>
      </c>
      <c r="L196" s="13"/>
      <c r="M196" s="13"/>
    </row>
    <row r="197" spans="1:1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2" t="str">
        <f t="shared" si="6"/>
        <v/>
      </c>
      <c r="L197" s="13"/>
      <c r="M197" s="13"/>
    </row>
    <row r="198" spans="1:1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2" t="str">
        <f t="shared" si="6"/>
        <v/>
      </c>
      <c r="L198" s="13"/>
      <c r="M198" s="13"/>
    </row>
    <row r="199" spans="1:1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2" t="str">
        <f t="shared" si="6"/>
        <v/>
      </c>
      <c r="L199" s="13"/>
      <c r="M199" s="13"/>
    </row>
    <row r="200" spans="1:1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2" t="str">
        <f t="shared" si="6"/>
        <v/>
      </c>
      <c r="L200" s="13"/>
      <c r="M200" s="13"/>
    </row>
    <row r="201" spans="1:1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2" t="str">
        <f t="shared" si="6"/>
        <v/>
      </c>
      <c r="L201" s="13"/>
      <c r="M201" s="13"/>
    </row>
    <row r="202" spans="1:1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2" t="str">
        <f t="shared" si="6"/>
        <v/>
      </c>
      <c r="L202" s="13"/>
      <c r="M202" s="13"/>
    </row>
  </sheetData>
  <autoFilter ref="A2:M202" xr:uid="{00000000-0009-0000-0000-000001000000}"/>
  <conditionalFormatting sqref="K3:K202">
    <cfRule type="cellIs" dxfId="1" priority="2" operator="equal">
      <formula>"✓"</formula>
    </cfRule>
    <cfRule type="cellIs" dxfId="0" priority="3" operator="equal">
      <formula>"—"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Справочники!$A$2:$A$7</xm:f>
          </x14:formula1>
          <x14:formula2>
            <xm:f>0</xm:f>
          </x14:formula2>
          <xm:sqref>C3:C202</xm:sqref>
        </x14:dataValidation>
        <x14:dataValidation type="list" allowBlank="1" xr:uid="{00000000-0002-0000-0100-000001000000}">
          <x14:formula1>
            <xm:f>Справочники!$B$2:$B$5</xm:f>
          </x14:formula1>
          <x14:formula2>
            <xm:f>0</xm:f>
          </x14:formula2>
          <xm:sqref>D3:D202</xm:sqref>
        </x14:dataValidation>
        <x14:dataValidation type="list" allowBlank="1" xr:uid="{00000000-0002-0000-0100-000002000000}">
          <x14:formula1>
            <xm:f>Справочники!$C$2:$C$12</xm:f>
          </x14:formula1>
          <x14:formula2>
            <xm:f>0</xm:f>
          </x14:formula2>
          <xm:sqref>E3:E202</xm:sqref>
        </x14:dataValidation>
        <x14:dataValidation type="list" allowBlank="1" xr:uid="{00000000-0002-0000-0100-000003000000}">
          <x14:formula1>
            <xm:f>Справочники!$D$2:$D$8</xm:f>
          </x14:formula1>
          <x14:formula2>
            <xm:f>0</xm:f>
          </x14:formula2>
          <xm:sqref>F3:F202</xm:sqref>
        </x14:dataValidation>
        <x14:dataValidation type="list" allowBlank="1" xr:uid="{00000000-0002-0000-0100-000004000000}">
          <x14:formula1>
            <xm:f>Справочники!$E$2:$E$9</xm:f>
          </x14:formula1>
          <x14:formula2>
            <xm:f>0</xm:f>
          </x14:formula2>
          <xm:sqref>J3:J202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6" customWidth="1"/>
    <col min="3" max="3" width="14" customWidth="1"/>
    <col min="4" max="4" width="3" customWidth="1"/>
    <col min="5" max="5" width="22" customWidth="1"/>
    <col min="6" max="6" width="12" customWidth="1"/>
  </cols>
  <sheetData>
    <row r="2" spans="2:6" ht="18" x14ac:dyDescent="0.25">
      <c r="B2" s="9" t="s">
        <v>94</v>
      </c>
    </row>
    <row r="3" spans="2:6" x14ac:dyDescent="0.25">
      <c r="B3" s="2" t="s">
        <v>95</v>
      </c>
    </row>
    <row r="5" spans="2:6" ht="15.75" x14ac:dyDescent="0.25">
      <c r="B5" s="5" t="s">
        <v>96</v>
      </c>
      <c r="E5" s="5" t="s">
        <v>97</v>
      </c>
    </row>
    <row r="6" spans="2:6" x14ac:dyDescent="0.25">
      <c r="B6" s="10" t="s">
        <v>33</v>
      </c>
      <c r="C6" s="10" t="s">
        <v>98</v>
      </c>
      <c r="E6" s="10" t="s">
        <v>34</v>
      </c>
      <c r="F6" s="10" t="s">
        <v>98</v>
      </c>
    </row>
    <row r="7" spans="2:6" x14ac:dyDescent="0.25">
      <c r="B7" s="14" t="s">
        <v>46</v>
      </c>
      <c r="C7" s="15">
        <f>COUNTIF('Реестр требований'!$C$3:$C$202,"Бизнес-требование")</f>
        <v>1</v>
      </c>
      <c r="E7" s="14" t="s">
        <v>47</v>
      </c>
      <c r="F7" s="15">
        <f>COUNTIF('Реестр требований'!$D$3:$D$202,"Must")</f>
        <v>4</v>
      </c>
    </row>
    <row r="8" spans="2:6" x14ac:dyDescent="0.25">
      <c r="B8" s="14" t="s">
        <v>57</v>
      </c>
      <c r="C8" s="15">
        <f>COUNTIF('Реестр требований'!$C$3:$C$202,"Функциональное")</f>
        <v>2</v>
      </c>
      <c r="E8" s="14" t="s">
        <v>74</v>
      </c>
      <c r="F8" s="15">
        <f>COUNTIF('Реестр требований'!$D$3:$D$202,"Should")</f>
        <v>2</v>
      </c>
    </row>
    <row r="9" spans="2:6" x14ac:dyDescent="0.25">
      <c r="B9" s="14" t="s">
        <v>66</v>
      </c>
      <c r="C9" s="15">
        <f>COUNTIF('Реестр требований'!$C$3:$C$202,"Нефункциональное")</f>
        <v>2</v>
      </c>
      <c r="E9" s="14" t="s">
        <v>99</v>
      </c>
      <c r="F9" s="15">
        <f>COUNTIF('Реестр требований'!$D$3:$D$202,"Could")</f>
        <v>0</v>
      </c>
    </row>
    <row r="10" spans="2:6" x14ac:dyDescent="0.25">
      <c r="B10" s="14" t="s">
        <v>83</v>
      </c>
      <c r="C10" s="15">
        <f>COUNTIF('Реестр требований'!$C$3:$C$202,"Переходное (миграция/обучение)")</f>
        <v>1</v>
      </c>
      <c r="E10" s="14" t="s">
        <v>100</v>
      </c>
      <c r="F10" s="15">
        <f>COUNTIF('Реестр требований'!$D$3:$D$202,"Won't (этой волны)")</f>
        <v>0</v>
      </c>
    </row>
    <row r="11" spans="2:6" x14ac:dyDescent="0.25">
      <c r="B11" s="14" t="s">
        <v>101</v>
      </c>
      <c r="C11" s="15">
        <f>COUNTIF('Реестр требований'!$C$3:$C$202,"Требование к решению")</f>
        <v>0</v>
      </c>
    </row>
    <row r="12" spans="2:6" ht="15.75" x14ac:dyDescent="0.25">
      <c r="B12" s="14" t="s">
        <v>102</v>
      </c>
      <c r="C12" s="15">
        <f>COUNTIF('Реестр требований'!$C$3:$C$202,"Требование к проекту")</f>
        <v>0</v>
      </c>
      <c r="E12" s="5" t="s">
        <v>103</v>
      </c>
    </row>
    <row r="13" spans="2:6" x14ac:dyDescent="0.25">
      <c r="E13" s="10" t="s">
        <v>40</v>
      </c>
      <c r="F13" s="10" t="s">
        <v>98</v>
      </c>
    </row>
    <row r="14" spans="2:6" x14ac:dyDescent="0.25">
      <c r="B14" s="16" t="s">
        <v>104</v>
      </c>
      <c r="C14" s="17">
        <f>COUNTA('Реестр требований'!$A$3:$A$202)</f>
        <v>6</v>
      </c>
      <c r="E14" s="14" t="s">
        <v>71</v>
      </c>
      <c r="F14" s="15">
        <f>COUNTIF('Реестр требований'!$J$3:$J$202,"Предложено")</f>
        <v>3</v>
      </c>
    </row>
    <row r="15" spans="2:6" x14ac:dyDescent="0.25">
      <c r="B15" s="16" t="s">
        <v>41</v>
      </c>
      <c r="C15" s="18">
        <f>COUNTIF('Реестр требований'!$K$3:$K$202,"✓")</f>
        <v>3</v>
      </c>
      <c r="E15" s="14" t="s">
        <v>53</v>
      </c>
      <c r="F15" s="15">
        <f>COUNTIF('Реестр требований'!$J$3:$J$202,"Согласовано")</f>
        <v>2</v>
      </c>
    </row>
    <row r="16" spans="2:6" x14ac:dyDescent="0.25">
      <c r="E16" s="14" t="s">
        <v>62</v>
      </c>
      <c r="F16" s="15">
        <f>COUNTIF('Реестр требований'!$J$3:$J$202,"Базовая линия")</f>
        <v>1</v>
      </c>
    </row>
    <row r="17" spans="5:6" x14ac:dyDescent="0.25">
      <c r="E17" s="14" t="s">
        <v>105</v>
      </c>
      <c r="F17" s="15">
        <f>COUNTIF('Реестр требований'!$J$3:$J$202,"Реализуется")</f>
        <v>0</v>
      </c>
    </row>
    <row r="18" spans="5:6" x14ac:dyDescent="0.25">
      <c r="E18" s="14" t="s">
        <v>106</v>
      </c>
      <c r="F18" s="15">
        <f>COUNTIF('Реестр требований'!$J$3:$J$202,"Реализовано")</f>
        <v>0</v>
      </c>
    </row>
    <row r="19" spans="5:6" x14ac:dyDescent="0.25">
      <c r="E19" s="14" t="s">
        <v>107</v>
      </c>
      <c r="F19" s="15">
        <f>COUNTIF('Реестр требований'!$J$3:$J$202,"Проверено")</f>
        <v>0</v>
      </c>
    </row>
    <row r="20" spans="5:6" x14ac:dyDescent="0.25">
      <c r="E20" s="14" t="s">
        <v>108</v>
      </c>
      <c r="F20" s="15">
        <f>COUNTIF('Реестр требований'!$J$3:$J$202,"Отклонено")</f>
        <v>0</v>
      </c>
    </row>
    <row r="21" spans="5:6" x14ac:dyDescent="0.25">
      <c r="E21" s="14" t="s">
        <v>109</v>
      </c>
      <c r="F21" s="15">
        <f>COUNTIF('Реестр требований'!$J$3:$J$202,"Отложено")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zoomScaleNormal="100" workbookViewId="0"/>
  </sheetViews>
  <sheetFormatPr defaultColWidth="8.7109375" defaultRowHeight="15" x14ac:dyDescent="0.25"/>
  <cols>
    <col min="1" max="3" width="24" customWidth="1"/>
    <col min="4" max="4" width="22" customWidth="1"/>
    <col min="5" max="5" width="24" customWidth="1"/>
  </cols>
  <sheetData>
    <row r="1" spans="1:5" x14ac:dyDescent="0.25">
      <c r="A1" s="10" t="s">
        <v>110</v>
      </c>
      <c r="B1" s="10" t="s">
        <v>111</v>
      </c>
      <c r="C1" s="10" t="s">
        <v>35</v>
      </c>
      <c r="D1" s="10" t="s">
        <v>36</v>
      </c>
      <c r="E1" s="10" t="s">
        <v>40</v>
      </c>
    </row>
    <row r="2" spans="1:5" x14ac:dyDescent="0.25">
      <c r="A2" s="14" t="s">
        <v>46</v>
      </c>
      <c r="B2" s="14" t="s">
        <v>47</v>
      </c>
      <c r="C2" s="14" t="s">
        <v>112</v>
      </c>
      <c r="D2" s="14" t="s">
        <v>49</v>
      </c>
      <c r="E2" s="14" t="s">
        <v>71</v>
      </c>
    </row>
    <row r="3" spans="1:5" x14ac:dyDescent="0.25">
      <c r="A3" s="14" t="s">
        <v>57</v>
      </c>
      <c r="B3" s="14" t="s">
        <v>74</v>
      </c>
      <c r="C3" s="14" t="s">
        <v>48</v>
      </c>
      <c r="D3" s="14" t="s">
        <v>59</v>
      </c>
      <c r="E3" s="14" t="s">
        <v>53</v>
      </c>
    </row>
    <row r="4" spans="1:5" x14ac:dyDescent="0.25">
      <c r="A4" s="14" t="s">
        <v>66</v>
      </c>
      <c r="B4" s="14" t="s">
        <v>99</v>
      </c>
      <c r="C4" s="14" t="s">
        <v>67</v>
      </c>
      <c r="D4" s="14" t="s">
        <v>76</v>
      </c>
      <c r="E4" s="14" t="s">
        <v>62</v>
      </c>
    </row>
    <row r="5" spans="1:5" x14ac:dyDescent="0.25">
      <c r="A5" s="14" t="s">
        <v>83</v>
      </c>
      <c r="B5" s="14" t="s">
        <v>100</v>
      </c>
      <c r="C5" s="14" t="s">
        <v>58</v>
      </c>
      <c r="D5" s="14" t="s">
        <v>90</v>
      </c>
      <c r="E5" s="14" t="s">
        <v>105</v>
      </c>
    </row>
    <row r="6" spans="1:5" x14ac:dyDescent="0.25">
      <c r="A6" s="14" t="s">
        <v>101</v>
      </c>
      <c r="C6" s="14" t="s">
        <v>113</v>
      </c>
      <c r="D6" s="14" t="s">
        <v>114</v>
      </c>
      <c r="E6" s="14" t="s">
        <v>106</v>
      </c>
    </row>
    <row r="7" spans="1:5" x14ac:dyDescent="0.25">
      <c r="A7" s="14" t="s">
        <v>102</v>
      </c>
      <c r="C7" s="14" t="s">
        <v>115</v>
      </c>
      <c r="D7" s="14" t="s">
        <v>116</v>
      </c>
      <c r="E7" s="14" t="s">
        <v>107</v>
      </c>
    </row>
    <row r="8" spans="1:5" x14ac:dyDescent="0.25">
      <c r="C8" s="14" t="s">
        <v>117</v>
      </c>
      <c r="D8" s="14" t="s">
        <v>118</v>
      </c>
      <c r="E8" s="14" t="s">
        <v>108</v>
      </c>
    </row>
    <row r="9" spans="1:5" x14ac:dyDescent="0.25">
      <c r="C9" s="14" t="s">
        <v>119</v>
      </c>
      <c r="E9" s="14" t="s">
        <v>109</v>
      </c>
    </row>
    <row r="10" spans="1:5" x14ac:dyDescent="0.25">
      <c r="C10" s="14" t="s">
        <v>75</v>
      </c>
    </row>
    <row r="11" spans="1:5" x14ac:dyDescent="0.25">
      <c r="C11" s="14" t="s">
        <v>84</v>
      </c>
    </row>
    <row r="12" spans="1:5" x14ac:dyDescent="0.25">
      <c r="C12" s="1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19" t="s">
        <v>120</v>
      </c>
    </row>
    <row r="2" spans="1:4" x14ac:dyDescent="0.25">
      <c r="A2" s="10" t="s">
        <v>121</v>
      </c>
      <c r="B2" s="10" t="s">
        <v>122</v>
      </c>
      <c r="C2" s="10" t="s">
        <v>123</v>
      </c>
      <c r="D2" s="10" t="s">
        <v>124</v>
      </c>
    </row>
    <row r="3" spans="1:4" x14ac:dyDescent="0.25">
      <c r="A3" s="20" t="s">
        <v>125</v>
      </c>
      <c r="B3" s="20" t="s">
        <v>126</v>
      </c>
      <c r="C3" s="20" t="s">
        <v>127</v>
      </c>
      <c r="D3" s="20" t="s">
        <v>128</v>
      </c>
    </row>
    <row r="4" spans="1:4" x14ac:dyDescent="0.25">
      <c r="A4" s="21"/>
      <c r="B4" s="21"/>
      <c r="C4" s="21"/>
      <c r="D4" s="21"/>
    </row>
    <row r="5" spans="1:4" x14ac:dyDescent="0.25">
      <c r="A5" s="21"/>
      <c r="B5" s="21"/>
      <c r="C5" s="21"/>
      <c r="D5" s="21"/>
    </row>
    <row r="6" spans="1:4" x14ac:dyDescent="0.25">
      <c r="A6" s="21"/>
      <c r="B6" s="21"/>
      <c r="C6" s="21"/>
      <c r="D6" s="21"/>
    </row>
    <row r="7" spans="1:4" x14ac:dyDescent="0.25">
      <c r="A7" s="21"/>
      <c r="B7" s="21"/>
      <c r="C7" s="21"/>
      <c r="D7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Реестр требований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2026-06-20T09:35:39Z</dcterms:created>
  <dcterms:modified xsi:type="dcterms:W3CDTF">2026-06-20T09:38:17Z</dcterms:modified>
  <dc:language>en-US</dc:language>
</cp:coreProperties>
</file>