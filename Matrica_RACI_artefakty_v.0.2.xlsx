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8_{A49F6C2B-93F1-47F0-8CBF-1F6CA9E25720}" xr6:coauthVersionLast="47" xr6:coauthVersionMax="47" xr10:uidLastSave="{00000000-0000-0000-0000-000000000000}"/>
  <bookViews>
    <workbookView xWindow="23955" yWindow="1665" windowWidth="25860" windowHeight="16530" tabRatio="500" xr2:uid="{00000000-000D-0000-FFFF-FFFF00000000}"/>
  </bookViews>
  <sheets>
    <sheet name="RACI" sheetId="1" r:id="rId1"/>
    <sheet name="Легенда и роли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66" i="1" l="1"/>
  <c r="S66" i="1"/>
  <c r="T65" i="1"/>
  <c r="S65" i="1"/>
  <c r="T64" i="1"/>
  <c r="S64" i="1"/>
  <c r="T63" i="1"/>
  <c r="S63" i="1"/>
  <c r="T61" i="1"/>
  <c r="S61" i="1"/>
  <c r="T60" i="1"/>
  <c r="S60" i="1"/>
  <c r="T59" i="1"/>
  <c r="S59" i="1"/>
  <c r="T58" i="1"/>
  <c r="S58" i="1"/>
  <c r="T56" i="1"/>
  <c r="S56" i="1"/>
  <c r="T55" i="1"/>
  <c r="S55" i="1"/>
  <c r="T54" i="1"/>
  <c r="S54" i="1"/>
  <c r="T53" i="1"/>
  <c r="S53" i="1"/>
  <c r="T52" i="1"/>
  <c r="S52" i="1"/>
  <c r="T51" i="1"/>
  <c r="S51" i="1"/>
  <c r="T49" i="1"/>
  <c r="S49" i="1"/>
  <c r="T48" i="1"/>
  <c r="S48" i="1"/>
  <c r="T47" i="1"/>
  <c r="S47" i="1"/>
  <c r="T46" i="1"/>
  <c r="S46" i="1"/>
  <c r="T45" i="1"/>
  <c r="S45" i="1"/>
  <c r="T43" i="1"/>
  <c r="S43" i="1"/>
  <c r="T42" i="1"/>
  <c r="S42" i="1"/>
  <c r="T41" i="1"/>
  <c r="S41" i="1"/>
  <c r="T40" i="1"/>
  <c r="S40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S4" authorId="0" shapeId="0" xr:uid="{00000000-0006-0000-0000-000001000000}">
      <text>
        <r>
          <rPr>
            <sz val="10"/>
            <rFont val="Arial"/>
            <family val="2"/>
          </rPr>
          <t>Контроль: должно быть ровно одно 'A' в строке. ERR — нарушение правила RACI.</t>
        </r>
      </text>
    </comment>
    <comment ref="T4" authorId="0" shapeId="0" xr:uid="{00000000-0006-0000-0000-000002000000}">
      <text>
        <r>
          <rPr>
            <sz val="10"/>
            <rFont val="Arial"/>
            <family val="2"/>
          </rPr>
          <t>Контроль: должно быть хотя бы одно 'R' в строке.</t>
        </r>
      </text>
    </comment>
  </commentList>
</comments>
</file>

<file path=xl/sharedStrings.xml><?xml version="1.0" encoding="utf-8"?>
<sst xmlns="http://schemas.openxmlformats.org/spreadsheetml/2006/main" count="361" uniqueCount="118">
  <si>
    <t>Матрица ответственности RACI — артефакты × роли</t>
  </si>
  <si>
    <t>Строки: фаза → артефакт. Столбцы: роли. R—исполняет, A—отвечает (один на строку), C—консультирует, I—информируется.</t>
  </si>
  <si>
    <t>Фаза / Артефакт</t>
  </si>
  <si>
    <t>Спон</t>
  </si>
  <si>
    <t>Кур</t>
  </si>
  <si>
    <t>РП</t>
  </si>
  <si>
    <t>АрхР</t>
  </si>
  <si>
    <t>АрхД</t>
  </si>
  <si>
    <t>Ан-Ф</t>
  </si>
  <si>
    <t>Ан-П</t>
  </si>
  <si>
    <t>Ан-Л</t>
  </si>
  <si>
    <t>Р1</t>
  </si>
  <si>
    <t>Р2</t>
  </si>
  <si>
    <t>Инт</t>
  </si>
  <si>
    <t>Миг</t>
  </si>
  <si>
    <t>QA</t>
  </si>
  <si>
    <t>ТП</t>
  </si>
  <si>
    <t>Трн</t>
  </si>
  <si>
    <t>ВБП</t>
  </si>
  <si>
    <t>Адм</t>
  </si>
  <si>
    <t>A?</t>
  </si>
  <si>
    <t>R?</t>
  </si>
  <si>
    <t>Фаза 1. Инициация и подготовка</t>
  </si>
  <si>
    <t xml:space="preserve">    Устав проекта</t>
  </si>
  <si>
    <t>A</t>
  </si>
  <si>
    <t>C</t>
  </si>
  <si>
    <t>R</t>
  </si>
  <si>
    <t>I</t>
  </si>
  <si>
    <t xml:space="preserve">    Паспорт проекта</t>
  </si>
  <si>
    <t xml:space="preserve">    План управления проектом</t>
  </si>
  <si>
    <t xml:space="preserve">    Реестр стейкхолдеров и матрица влияния/интересов</t>
  </si>
  <si>
    <t xml:space="preserve">    Матрица ответственности RACI</t>
  </si>
  <si>
    <t xml:space="preserve">    Организационная структура проекта</t>
  </si>
  <si>
    <t xml:space="preserve">    Реестр рисков</t>
  </si>
  <si>
    <t xml:space="preserve">    Реестр проблем (Issue Log)</t>
  </si>
  <si>
    <t xml:space="preserve">    Матрица коммуникаций</t>
  </si>
  <si>
    <t xml:space="preserve">    План управления изменениями</t>
  </si>
  <si>
    <t xml:space="preserve">    Реестр запросов на изменение</t>
  </si>
  <si>
    <t xml:space="preserve">    Календарный план</t>
  </si>
  <si>
    <t xml:space="preserve">    План управления качеством</t>
  </si>
  <si>
    <t>Фаза 2. Обследование</t>
  </si>
  <si>
    <t xml:space="preserve">    Отчёт о предпроектном обследовании</t>
  </si>
  <si>
    <t xml:space="preserve">    Описание бизнес-процессов As-Is</t>
  </si>
  <si>
    <t xml:space="preserve">    Описание бизнес-процессов To-Be</t>
  </si>
  <si>
    <t xml:space="preserve">    Каталог бизнес-требований (BRD)</t>
  </si>
  <si>
    <t xml:space="preserve">    Реестр требований</t>
  </si>
  <si>
    <t xml:space="preserve">    Матрица трассировки требований (RTM)</t>
  </si>
  <si>
    <t xml:space="preserve">    Реестр разрывов (Gap-анализ)</t>
  </si>
  <si>
    <t>Фаза 3. Проектирование</t>
  </si>
  <si>
    <t xml:space="preserve">    Техническое задание (головное)</t>
  </si>
  <si>
    <t xml:space="preserve">    ЧТЗ на доработку</t>
  </si>
  <si>
    <t xml:space="preserve">    ЧТЗ на интеграцию</t>
  </si>
  <si>
    <t xml:space="preserve">    Функциональные спецификации (FRD)</t>
  </si>
  <si>
    <t xml:space="preserve">    Концепция архитектуры решения</t>
  </si>
  <si>
    <t xml:space="preserve">    Концепция НСИ</t>
  </si>
  <si>
    <t xml:space="preserve">    Концепция миграции данных</t>
  </si>
  <si>
    <t xml:space="preserve">    Концепция интеграции</t>
  </si>
  <si>
    <t xml:space="preserve">    Модель данных / описание НСИ</t>
  </si>
  <si>
    <t xml:space="preserve">    Ролевая модель и матрица прав доступа</t>
  </si>
  <si>
    <t xml:space="preserve">    Дизайн UI / печатных форм / отчётов</t>
  </si>
  <si>
    <t>Фаза 4. Разработка и настройка</t>
  </si>
  <si>
    <t xml:space="preserve">    Реестр доработок (Backlog)</t>
  </si>
  <si>
    <t xml:space="preserve">    Журнал версий конфигурации</t>
  </si>
  <si>
    <t xml:space="preserve">    Стандарты разработки и code style</t>
  </si>
  <si>
    <t xml:space="preserve">    Протоколы код-ревью</t>
  </si>
  <si>
    <t>Фаза 5. Тестирование</t>
  </si>
  <si>
    <t xml:space="preserve">    План тестирования и ПМИ</t>
  </si>
  <si>
    <t xml:space="preserve">    Реестр тест-кейсов</t>
  </si>
  <si>
    <t xml:space="preserve">    Протоколы тестирования</t>
  </si>
  <si>
    <t xml:space="preserve">    Журнал дефектов (Bug tracking)</t>
  </si>
  <si>
    <t xml:space="preserve">    Протоколы приёмочных испытаний</t>
  </si>
  <si>
    <t>Фаза 6. Внедрение и ОПЭ</t>
  </si>
  <si>
    <t xml:space="preserve">    План развёртывания / перехода (Cutover)</t>
  </si>
  <si>
    <t xml:space="preserve">    Детальный план миграции данных</t>
  </si>
  <si>
    <t xml:space="preserve">    План обучения и учебные материалы</t>
  </si>
  <si>
    <t xml:space="preserve">    Регламент опытной эксплуатации (ОПЭ)</t>
  </si>
  <si>
    <t xml:space="preserve">    Журнал замечаний периода ОПЭ</t>
  </si>
  <si>
    <t xml:space="preserve">    План поддержки (Hypercare)</t>
  </si>
  <si>
    <t>Фаза 7. Эксплуатационная документация</t>
  </si>
  <si>
    <t xml:space="preserve">    Руководство пользователя</t>
  </si>
  <si>
    <t xml:space="preserve">    Руководство администратора</t>
  </si>
  <si>
    <t xml:space="preserve">    Регламенты эксплуатации и сопровождения (SLA)</t>
  </si>
  <si>
    <t xml:space="preserve">    Инструкции по типовым операциям</t>
  </si>
  <si>
    <t>Фаза 8. Закрытие</t>
  </si>
  <si>
    <t xml:space="preserve">    Акты сдачи-приёмки</t>
  </si>
  <si>
    <t xml:space="preserve">    Протокол завершения проекта</t>
  </si>
  <si>
    <t xml:space="preserve">    Отчёт об извлечённых уроках</t>
  </si>
  <si>
    <t xml:space="preserve">    Реестр переданных активов</t>
  </si>
  <si>
    <t>Условные обозначения и роли</t>
  </si>
  <si>
    <t>Коды RACI</t>
  </si>
  <si>
    <t>Responsible — исполняет работу (один или несколько)</t>
  </si>
  <si>
    <t>Accountable — несёт ответственность за результат и утверждает (ровно один на артефакт)</t>
  </si>
  <si>
    <t>Consulted — консультирует, двусторонняя связь (до создания/решения)</t>
  </si>
  <si>
    <t>Informed — информируется о результате (односторонняя связь)</t>
  </si>
  <si>
    <t>Расшифровка ролей (колонок)</t>
  </si>
  <si>
    <t>Код</t>
  </si>
  <si>
    <t>Роль</t>
  </si>
  <si>
    <t>Спонсор проекта</t>
  </si>
  <si>
    <t>Куратор</t>
  </si>
  <si>
    <t>Руководитель проекта</t>
  </si>
  <si>
    <t>Архитектор решения</t>
  </si>
  <si>
    <t>Архитектор данных / НСИ</t>
  </si>
  <si>
    <t>Аналитик (финансы)</t>
  </si>
  <si>
    <t>Аналитик (производство)</t>
  </si>
  <si>
    <t>Аналитик (логистика/закупки)</t>
  </si>
  <si>
    <t>Разработчик 1С (старший)</t>
  </si>
  <si>
    <t>Разработчик 1С</t>
  </si>
  <si>
    <t>Специалист по интеграциям</t>
  </si>
  <si>
    <t>Специалист по миграции данных</t>
  </si>
  <si>
    <t>Тестировщик / QA</t>
  </si>
  <si>
    <t>Технический писатель</t>
  </si>
  <si>
    <t>Тренер / методолог обучения</t>
  </si>
  <si>
    <t>Владелец бизнес-процессов</t>
  </si>
  <si>
    <t>Администратор системы</t>
  </si>
  <si>
    <t>Контроль качества матрицы</t>
  </si>
  <si>
    <t>•  Столбец «A?»: должно быть ровно одно 'A' на строку — иначе ERR (красным).</t>
  </si>
  <si>
    <t>•  Столбец «R?»: должно быть хотя бы одно 'R' на строку — иначе «—».</t>
  </si>
  <si>
    <t>•  Правьте назначения прямо в матрице (выпадающий список R/A/C/I); контроль пересчитается.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</si>
</sst>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i/>
      <sz val="9"/>
      <color rgb="FF808080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843C0C"/>
      <name val="Arial"/>
      <charset val="1"/>
    </font>
    <font>
      <b/>
      <sz val="10"/>
      <color rgb="FF7F6000"/>
      <name val="Arial"/>
      <charset val="1"/>
    </font>
    <font>
      <b/>
      <sz val="10"/>
      <color rgb="FF375623"/>
      <name val="Arial"/>
      <charset val="1"/>
    </font>
    <font>
      <b/>
      <sz val="10"/>
      <color rgb="FF000000"/>
      <name val="Arial"/>
      <charset val="1"/>
    </font>
    <font>
      <b/>
      <sz val="10"/>
      <color rgb="FF1F4E79"/>
      <name val="Arial"/>
      <charset val="1"/>
    </font>
    <font>
      <b/>
      <sz val="9"/>
      <name val="Arial"/>
      <charset val="1"/>
    </font>
    <font>
      <sz val="10"/>
      <name val="Arial"/>
      <family val="2"/>
    </font>
    <font>
      <b/>
      <sz val="14"/>
      <color rgb="FF1F4E79"/>
      <name val="Arial"/>
      <charset val="1"/>
    </font>
    <font>
      <b/>
      <sz val="12"/>
      <color rgb="FF2E75B6"/>
      <name val="Arial"/>
      <charset val="1"/>
    </font>
    <font>
      <b/>
      <sz val="12"/>
      <color rgb="FF375623"/>
      <name val="Arial"/>
      <charset val="1"/>
    </font>
    <font>
      <b/>
      <sz val="12"/>
      <color rgb="FF843C0C"/>
      <name val="Arial"/>
      <charset val="1"/>
    </font>
    <font>
      <b/>
      <sz val="12"/>
      <color rgb="FF7F6000"/>
      <name val="Arial"/>
      <charset val="1"/>
    </font>
    <font>
      <b/>
      <sz val="12"/>
      <color rgb="FF1F4E79"/>
      <name val="Arial"/>
      <charset val="1"/>
    </font>
    <font>
      <b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4B183"/>
        <bgColor rgb="FFFF99CC"/>
      </patternFill>
    </fill>
    <fill>
      <patternFill patternType="solid">
        <fgColor rgb="FFFFE699"/>
        <bgColor rgb="FFFFFFCC"/>
      </patternFill>
    </fill>
    <fill>
      <patternFill patternType="solid">
        <fgColor rgb="FFC6E0B4"/>
        <bgColor rgb="FFBFBFBF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indent="1"/>
    </xf>
    <xf numFmtId="0" fontId="0" fillId="3" borderId="1" xfId="0" applyFill="1" applyBorder="1"/>
    <xf numFmtId="0" fontId="5" fillId="0" borderId="1" xfId="0" applyFont="1" applyBorder="1" applyAlignment="1">
      <alignment vertical="center" wrapText="1" inden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 applyAlignment="1">
      <alignment vertical="top" wrapText="1"/>
    </xf>
  </cellXfs>
  <cellStyles count="1">
    <cellStyle name="Обычный" xfId="0" builtinId="0"/>
  </cellStyles>
  <dxfs count="4">
    <dxf>
      <font>
        <b/>
        <color rgb="FF375623"/>
      </font>
      <fill>
        <patternFill>
          <bgColor rgb="FFC6E0B4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Z29" sqref="Z29"/>
    </sheetView>
  </sheetViews>
  <sheetFormatPr defaultColWidth="8.7109375" defaultRowHeight="15" x14ac:dyDescent="0.25"/>
  <cols>
    <col min="1" max="1" width="46" customWidth="1"/>
    <col min="2" max="18" width="5.5703125" customWidth="1"/>
    <col min="19" max="20" width="6" customWidth="1"/>
  </cols>
  <sheetData>
    <row r="1" spans="1:20" ht="16.5" x14ac:dyDescent="0.25">
      <c r="A1" s="1" t="s">
        <v>0</v>
      </c>
    </row>
    <row r="2" spans="1:20" x14ac:dyDescent="0.25">
      <c r="A2" s="2" t="s">
        <v>1</v>
      </c>
    </row>
    <row r="4" spans="1:2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spans="1:20" x14ac:dyDescent="0.25">
      <c r="A5" s="4" t="s">
        <v>22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x14ac:dyDescent="0.25">
      <c r="A6" s="6" t="s">
        <v>23</v>
      </c>
      <c r="B6" s="7" t="s">
        <v>24</v>
      </c>
      <c r="C6" s="8" t="s">
        <v>25</v>
      </c>
      <c r="D6" s="9" t="s">
        <v>26</v>
      </c>
      <c r="E6" s="8" t="s">
        <v>25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 t="s">
        <v>27</v>
      </c>
      <c r="R6" s="10"/>
      <c r="S6" s="12" t="str">
        <f t="shared" ref="S6:S18" si="0">IF(COUNTIF(B6:R6,"A")=1,"OK","ERR")</f>
        <v>OK</v>
      </c>
      <c r="T6" s="12" t="str">
        <f t="shared" ref="T6:T18" si="1">IF(COUNTIF(B6:R6,"R")&gt;=1,"OK","—")</f>
        <v>OK</v>
      </c>
    </row>
    <row r="7" spans="1:20" x14ac:dyDescent="0.25">
      <c r="A7" s="6" t="s">
        <v>28</v>
      </c>
      <c r="B7" s="7" t="s">
        <v>24</v>
      </c>
      <c r="C7" s="11" t="s">
        <v>27</v>
      </c>
      <c r="D7" s="9" t="s">
        <v>26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 t="s">
        <v>27</v>
      </c>
      <c r="R7" s="10"/>
      <c r="S7" s="12" t="str">
        <f t="shared" si="0"/>
        <v>OK</v>
      </c>
      <c r="T7" s="12" t="str">
        <f t="shared" si="1"/>
        <v>OK</v>
      </c>
    </row>
    <row r="8" spans="1:20" x14ac:dyDescent="0.25">
      <c r="A8" s="6" t="s">
        <v>29</v>
      </c>
      <c r="B8" s="7" t="s">
        <v>24</v>
      </c>
      <c r="C8" s="8" t="s">
        <v>25</v>
      </c>
      <c r="D8" s="9" t="s">
        <v>26</v>
      </c>
      <c r="E8" s="8" t="s">
        <v>25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2" t="str">
        <f t="shared" si="0"/>
        <v>OK</v>
      </c>
      <c r="T8" s="12" t="str">
        <f t="shared" si="1"/>
        <v>OK</v>
      </c>
    </row>
    <row r="9" spans="1:20" ht="25.5" x14ac:dyDescent="0.25">
      <c r="A9" s="6" t="s">
        <v>30</v>
      </c>
      <c r="B9" s="10"/>
      <c r="C9" s="7" t="s">
        <v>24</v>
      </c>
      <c r="D9" s="9" t="s">
        <v>26</v>
      </c>
      <c r="E9" s="11" t="s">
        <v>27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 t="s">
        <v>25</v>
      </c>
      <c r="R9" s="10"/>
      <c r="S9" s="12" t="str">
        <f t="shared" si="0"/>
        <v>OK</v>
      </c>
      <c r="T9" s="12" t="str">
        <f t="shared" si="1"/>
        <v>OK</v>
      </c>
    </row>
    <row r="10" spans="1:20" x14ac:dyDescent="0.25">
      <c r="A10" s="6" t="s">
        <v>31</v>
      </c>
      <c r="B10" s="10"/>
      <c r="C10" s="7" t="s">
        <v>24</v>
      </c>
      <c r="D10" s="9" t="s">
        <v>26</v>
      </c>
      <c r="E10" s="8" t="s">
        <v>25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 t="s">
        <v>27</v>
      </c>
      <c r="R10" s="10"/>
      <c r="S10" s="12" t="str">
        <f t="shared" si="0"/>
        <v>OK</v>
      </c>
      <c r="T10" s="12" t="str">
        <f t="shared" si="1"/>
        <v>OK</v>
      </c>
    </row>
    <row r="11" spans="1:20" x14ac:dyDescent="0.25">
      <c r="A11" s="6" t="s">
        <v>32</v>
      </c>
      <c r="B11" s="7" t="s">
        <v>24</v>
      </c>
      <c r="C11" s="8" t="s">
        <v>25</v>
      </c>
      <c r="D11" s="9" t="s">
        <v>26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2" t="str">
        <f t="shared" si="0"/>
        <v>OK</v>
      </c>
      <c r="T11" s="12" t="str">
        <f t="shared" si="1"/>
        <v>OK</v>
      </c>
    </row>
    <row r="12" spans="1:20" x14ac:dyDescent="0.25">
      <c r="A12" s="6" t="s">
        <v>33</v>
      </c>
      <c r="B12" s="10"/>
      <c r="C12" s="8" t="s">
        <v>25</v>
      </c>
      <c r="D12" s="7" t="s">
        <v>24</v>
      </c>
      <c r="E12" s="9" t="s">
        <v>26</v>
      </c>
      <c r="F12" s="10"/>
      <c r="G12" s="10"/>
      <c r="H12" s="10"/>
      <c r="I12" s="10"/>
      <c r="J12" s="10"/>
      <c r="K12" s="10"/>
      <c r="L12" s="10"/>
      <c r="M12" s="10"/>
      <c r="N12" s="8" t="s">
        <v>25</v>
      </c>
      <c r="O12" s="10"/>
      <c r="P12" s="10"/>
      <c r="Q12" s="10"/>
      <c r="R12" s="10"/>
      <c r="S12" s="12" t="str">
        <f t="shared" si="0"/>
        <v>OK</v>
      </c>
      <c r="T12" s="12" t="str">
        <f t="shared" si="1"/>
        <v>OK</v>
      </c>
    </row>
    <row r="13" spans="1:20" x14ac:dyDescent="0.25">
      <c r="A13" s="6" t="s">
        <v>34</v>
      </c>
      <c r="B13" s="10"/>
      <c r="C13" s="7" t="s">
        <v>24</v>
      </c>
      <c r="D13" s="9" t="s">
        <v>26</v>
      </c>
      <c r="E13" s="8" t="s">
        <v>25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2" t="str">
        <f t="shared" si="0"/>
        <v>OK</v>
      </c>
      <c r="T13" s="12" t="str">
        <f t="shared" si="1"/>
        <v>OK</v>
      </c>
    </row>
    <row r="14" spans="1:20" x14ac:dyDescent="0.25">
      <c r="A14" s="6" t="s">
        <v>35</v>
      </c>
      <c r="B14" s="10"/>
      <c r="C14" s="7" t="s">
        <v>24</v>
      </c>
      <c r="D14" s="9" t="s">
        <v>26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 t="s">
        <v>27</v>
      </c>
      <c r="R14" s="10"/>
      <c r="S14" s="12" t="str">
        <f t="shared" si="0"/>
        <v>OK</v>
      </c>
      <c r="T14" s="12" t="str">
        <f t="shared" si="1"/>
        <v>OK</v>
      </c>
    </row>
    <row r="15" spans="1:20" x14ac:dyDescent="0.25">
      <c r="A15" s="6" t="s">
        <v>36</v>
      </c>
      <c r="B15" s="7" t="s">
        <v>24</v>
      </c>
      <c r="C15" s="8" t="s">
        <v>25</v>
      </c>
      <c r="D15" s="9" t="s">
        <v>26</v>
      </c>
      <c r="E15" s="8" t="s">
        <v>25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2" t="str">
        <f t="shared" si="0"/>
        <v>OK</v>
      </c>
      <c r="T15" s="12" t="str">
        <f t="shared" si="1"/>
        <v>OK</v>
      </c>
    </row>
    <row r="16" spans="1:20" x14ac:dyDescent="0.25">
      <c r="A16" s="6" t="s">
        <v>37</v>
      </c>
      <c r="B16" s="10"/>
      <c r="C16" s="7" t="s">
        <v>24</v>
      </c>
      <c r="D16" s="9" t="s">
        <v>26</v>
      </c>
      <c r="E16" s="8" t="s">
        <v>25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 t="s">
        <v>27</v>
      </c>
      <c r="R16" s="10"/>
      <c r="S16" s="12" t="str">
        <f t="shared" si="0"/>
        <v>OK</v>
      </c>
      <c r="T16" s="12" t="str">
        <f t="shared" si="1"/>
        <v>OK</v>
      </c>
    </row>
    <row r="17" spans="1:20" x14ac:dyDescent="0.25">
      <c r="A17" s="6" t="s">
        <v>38</v>
      </c>
      <c r="B17" s="11" t="s">
        <v>27</v>
      </c>
      <c r="C17" s="7" t="s">
        <v>24</v>
      </c>
      <c r="D17" s="9" t="s">
        <v>26</v>
      </c>
      <c r="E17" s="8" t="s">
        <v>25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2" t="str">
        <f t="shared" si="0"/>
        <v>OK</v>
      </c>
      <c r="T17" s="12" t="str">
        <f t="shared" si="1"/>
        <v>OK</v>
      </c>
    </row>
    <row r="18" spans="1:20" x14ac:dyDescent="0.25">
      <c r="A18" s="6" t="s">
        <v>39</v>
      </c>
      <c r="B18" s="10"/>
      <c r="C18" s="10"/>
      <c r="D18" s="9" t="s">
        <v>26</v>
      </c>
      <c r="E18" s="8" t="s">
        <v>25</v>
      </c>
      <c r="F18" s="10"/>
      <c r="G18" s="10"/>
      <c r="H18" s="10"/>
      <c r="I18" s="10"/>
      <c r="J18" s="10"/>
      <c r="K18" s="10"/>
      <c r="L18" s="10"/>
      <c r="M18" s="10"/>
      <c r="N18" s="7" t="s">
        <v>24</v>
      </c>
      <c r="O18" s="10"/>
      <c r="P18" s="10"/>
      <c r="Q18" s="10"/>
      <c r="R18" s="10"/>
      <c r="S18" s="12" t="str">
        <f t="shared" si="0"/>
        <v>OK</v>
      </c>
      <c r="T18" s="12" t="str">
        <f t="shared" si="1"/>
        <v>OK</v>
      </c>
    </row>
    <row r="19" spans="1:20" x14ac:dyDescent="0.25">
      <c r="A19" s="4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x14ac:dyDescent="0.25">
      <c r="A20" s="6" t="s">
        <v>41</v>
      </c>
      <c r="B20" s="10"/>
      <c r="C20" s="10"/>
      <c r="D20" s="7" t="s">
        <v>24</v>
      </c>
      <c r="E20" s="10"/>
      <c r="F20" s="10"/>
      <c r="G20" s="9" t="s">
        <v>26</v>
      </c>
      <c r="H20" s="9" t="s">
        <v>26</v>
      </c>
      <c r="I20" s="9" t="s">
        <v>26</v>
      </c>
      <c r="J20" s="10"/>
      <c r="K20" s="10"/>
      <c r="L20" s="10"/>
      <c r="M20" s="10"/>
      <c r="N20" s="10"/>
      <c r="O20" s="10"/>
      <c r="P20" s="10"/>
      <c r="Q20" s="8" t="s">
        <v>25</v>
      </c>
      <c r="R20" s="10"/>
      <c r="S20" s="12" t="str">
        <f t="shared" ref="S20:S26" si="2">IF(COUNTIF(B20:R20,"A")=1,"OK","ERR")</f>
        <v>OK</v>
      </c>
      <c r="T20" s="12" t="str">
        <f t="shared" ref="T20:T26" si="3">IF(COUNTIF(B20:R20,"R")&gt;=1,"OK","—")</f>
        <v>OK</v>
      </c>
    </row>
    <row r="21" spans="1:20" x14ac:dyDescent="0.25">
      <c r="A21" s="6" t="s">
        <v>42</v>
      </c>
      <c r="B21" s="10"/>
      <c r="C21" s="10"/>
      <c r="D21" s="7" t="s">
        <v>24</v>
      </c>
      <c r="E21" s="10"/>
      <c r="F21" s="10"/>
      <c r="G21" s="9" t="s">
        <v>26</v>
      </c>
      <c r="H21" s="9" t="s">
        <v>26</v>
      </c>
      <c r="I21" s="9" t="s">
        <v>26</v>
      </c>
      <c r="J21" s="10"/>
      <c r="K21" s="10"/>
      <c r="L21" s="10"/>
      <c r="M21" s="10"/>
      <c r="N21" s="10"/>
      <c r="O21" s="10"/>
      <c r="P21" s="10"/>
      <c r="Q21" s="8" t="s">
        <v>25</v>
      </c>
      <c r="R21" s="10"/>
      <c r="S21" s="12" t="str">
        <f t="shared" si="2"/>
        <v>OK</v>
      </c>
      <c r="T21" s="12" t="str">
        <f t="shared" si="3"/>
        <v>OK</v>
      </c>
    </row>
    <row r="22" spans="1:20" x14ac:dyDescent="0.25">
      <c r="A22" s="6" t="s">
        <v>43</v>
      </c>
      <c r="B22" s="10"/>
      <c r="C22" s="10"/>
      <c r="D22" s="7" t="s">
        <v>24</v>
      </c>
      <c r="E22" s="8" t="s">
        <v>25</v>
      </c>
      <c r="F22" s="10"/>
      <c r="G22" s="9" t="s">
        <v>26</v>
      </c>
      <c r="H22" s="9" t="s">
        <v>26</v>
      </c>
      <c r="I22" s="9" t="s">
        <v>26</v>
      </c>
      <c r="J22" s="10"/>
      <c r="K22" s="10"/>
      <c r="L22" s="10"/>
      <c r="M22" s="10"/>
      <c r="N22" s="10"/>
      <c r="O22" s="10"/>
      <c r="P22" s="10"/>
      <c r="Q22" s="8" t="s">
        <v>25</v>
      </c>
      <c r="R22" s="10"/>
      <c r="S22" s="12" t="str">
        <f t="shared" si="2"/>
        <v>OK</v>
      </c>
      <c r="T22" s="12" t="str">
        <f t="shared" si="3"/>
        <v>OK</v>
      </c>
    </row>
    <row r="23" spans="1:20" x14ac:dyDescent="0.25">
      <c r="A23" s="6" t="s">
        <v>44</v>
      </c>
      <c r="B23" s="10"/>
      <c r="C23" s="10"/>
      <c r="D23" s="7" t="s">
        <v>24</v>
      </c>
      <c r="E23" s="10"/>
      <c r="F23" s="10"/>
      <c r="G23" s="9" t="s">
        <v>26</v>
      </c>
      <c r="H23" s="9" t="s">
        <v>26</v>
      </c>
      <c r="I23" s="9" t="s">
        <v>26</v>
      </c>
      <c r="J23" s="10"/>
      <c r="K23" s="10"/>
      <c r="L23" s="10"/>
      <c r="M23" s="10"/>
      <c r="N23" s="10"/>
      <c r="O23" s="10"/>
      <c r="P23" s="10"/>
      <c r="Q23" s="8" t="s">
        <v>25</v>
      </c>
      <c r="R23" s="10"/>
      <c r="S23" s="12" t="str">
        <f t="shared" si="2"/>
        <v>OK</v>
      </c>
      <c r="T23" s="12" t="str">
        <f t="shared" si="3"/>
        <v>OK</v>
      </c>
    </row>
    <row r="24" spans="1:20" x14ac:dyDescent="0.25">
      <c r="A24" s="6" t="s">
        <v>45</v>
      </c>
      <c r="B24" s="10"/>
      <c r="C24" s="10"/>
      <c r="D24" s="7" t="s">
        <v>24</v>
      </c>
      <c r="E24" s="8" t="s">
        <v>25</v>
      </c>
      <c r="F24" s="10"/>
      <c r="G24" s="9" t="s">
        <v>26</v>
      </c>
      <c r="H24" s="9" t="s">
        <v>26</v>
      </c>
      <c r="I24" s="9" t="s">
        <v>26</v>
      </c>
      <c r="J24" s="10"/>
      <c r="K24" s="10"/>
      <c r="L24" s="10"/>
      <c r="M24" s="10"/>
      <c r="N24" s="10"/>
      <c r="O24" s="10"/>
      <c r="P24" s="10"/>
      <c r="Q24" s="8" t="s">
        <v>25</v>
      </c>
      <c r="R24" s="10"/>
      <c r="S24" s="12" t="str">
        <f t="shared" si="2"/>
        <v>OK</v>
      </c>
      <c r="T24" s="12" t="str">
        <f t="shared" si="3"/>
        <v>OK</v>
      </c>
    </row>
    <row r="25" spans="1:20" x14ac:dyDescent="0.25">
      <c r="A25" s="6" t="s">
        <v>46</v>
      </c>
      <c r="B25" s="10"/>
      <c r="C25" s="10"/>
      <c r="D25" s="7" t="s">
        <v>24</v>
      </c>
      <c r="E25" s="10"/>
      <c r="F25" s="10"/>
      <c r="G25" s="9" t="s">
        <v>26</v>
      </c>
      <c r="H25" s="9" t="s">
        <v>26</v>
      </c>
      <c r="I25" s="9" t="s">
        <v>26</v>
      </c>
      <c r="J25" s="10"/>
      <c r="K25" s="10"/>
      <c r="L25" s="10"/>
      <c r="M25" s="10"/>
      <c r="N25" s="8" t="s">
        <v>25</v>
      </c>
      <c r="O25" s="10"/>
      <c r="P25" s="10"/>
      <c r="Q25" s="10"/>
      <c r="R25" s="10"/>
      <c r="S25" s="12" t="str">
        <f t="shared" si="2"/>
        <v>OK</v>
      </c>
      <c r="T25" s="12" t="str">
        <f t="shared" si="3"/>
        <v>OK</v>
      </c>
    </row>
    <row r="26" spans="1:20" x14ac:dyDescent="0.25">
      <c r="A26" s="6" t="s">
        <v>47</v>
      </c>
      <c r="B26" s="10"/>
      <c r="C26" s="10"/>
      <c r="D26" s="11" t="s">
        <v>27</v>
      </c>
      <c r="E26" s="7" t="s">
        <v>24</v>
      </c>
      <c r="F26" s="10"/>
      <c r="G26" s="9" t="s">
        <v>26</v>
      </c>
      <c r="H26" s="9" t="s">
        <v>26</v>
      </c>
      <c r="I26" s="9" t="s">
        <v>26</v>
      </c>
      <c r="J26" s="10"/>
      <c r="K26" s="10"/>
      <c r="L26" s="10"/>
      <c r="M26" s="10"/>
      <c r="N26" s="10"/>
      <c r="O26" s="10"/>
      <c r="P26" s="10"/>
      <c r="Q26" s="10"/>
      <c r="R26" s="10"/>
      <c r="S26" s="12" t="str">
        <f t="shared" si="2"/>
        <v>OK</v>
      </c>
      <c r="T26" s="12" t="str">
        <f t="shared" si="3"/>
        <v>OK</v>
      </c>
    </row>
    <row r="27" spans="1:20" x14ac:dyDescent="0.25">
      <c r="A27" s="4" t="s">
        <v>48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x14ac:dyDescent="0.25">
      <c r="A28" s="6" t="s">
        <v>49</v>
      </c>
      <c r="B28" s="11" t="s">
        <v>27</v>
      </c>
      <c r="C28" s="10"/>
      <c r="D28" s="8" t="s">
        <v>25</v>
      </c>
      <c r="E28" s="7" t="s">
        <v>24</v>
      </c>
      <c r="F28" s="10"/>
      <c r="G28" s="9" t="s">
        <v>26</v>
      </c>
      <c r="H28" s="9" t="s">
        <v>26</v>
      </c>
      <c r="I28" s="9" t="s">
        <v>26</v>
      </c>
      <c r="J28" s="10"/>
      <c r="K28" s="10"/>
      <c r="L28" s="10"/>
      <c r="M28" s="10"/>
      <c r="N28" s="10"/>
      <c r="O28" s="10"/>
      <c r="P28" s="10"/>
      <c r="Q28" s="8" t="s">
        <v>25</v>
      </c>
      <c r="R28" s="10"/>
      <c r="S28" s="12" t="str">
        <f t="shared" ref="S28:S38" si="4">IF(COUNTIF(B28:R28,"A")=1,"OK","ERR")</f>
        <v>OK</v>
      </c>
      <c r="T28" s="12" t="str">
        <f t="shared" ref="T28:T38" si="5">IF(COUNTIF(B28:R28,"R")&gt;=1,"OK","—")</f>
        <v>OK</v>
      </c>
    </row>
    <row r="29" spans="1:20" x14ac:dyDescent="0.25">
      <c r="A29" s="6" t="s">
        <v>50</v>
      </c>
      <c r="B29" s="10"/>
      <c r="C29" s="10"/>
      <c r="D29" s="10"/>
      <c r="E29" s="7" t="s">
        <v>24</v>
      </c>
      <c r="F29" s="10"/>
      <c r="G29" s="9" t="s">
        <v>26</v>
      </c>
      <c r="H29" s="9" t="s">
        <v>26</v>
      </c>
      <c r="I29" s="9" t="s">
        <v>26</v>
      </c>
      <c r="J29" s="8" t="s">
        <v>25</v>
      </c>
      <c r="K29" s="10"/>
      <c r="L29" s="10"/>
      <c r="M29" s="10"/>
      <c r="N29" s="10"/>
      <c r="O29" s="10"/>
      <c r="P29" s="10"/>
      <c r="Q29" s="8" t="s">
        <v>25</v>
      </c>
      <c r="R29" s="10"/>
      <c r="S29" s="12" t="str">
        <f t="shared" si="4"/>
        <v>OK</v>
      </c>
      <c r="T29" s="12" t="str">
        <f t="shared" si="5"/>
        <v>OK</v>
      </c>
    </row>
    <row r="30" spans="1:20" x14ac:dyDescent="0.25">
      <c r="A30" s="6" t="s">
        <v>51</v>
      </c>
      <c r="B30" s="10"/>
      <c r="C30" s="10"/>
      <c r="D30" s="11" t="s">
        <v>27</v>
      </c>
      <c r="E30" s="7" t="s">
        <v>24</v>
      </c>
      <c r="F30" s="10"/>
      <c r="G30" s="10"/>
      <c r="H30" s="10"/>
      <c r="I30" s="10"/>
      <c r="J30" s="8" t="s">
        <v>25</v>
      </c>
      <c r="K30" s="10"/>
      <c r="L30" s="9" t="s">
        <v>26</v>
      </c>
      <c r="M30" s="10"/>
      <c r="N30" s="10"/>
      <c r="O30" s="10"/>
      <c r="P30" s="10"/>
      <c r="Q30" s="8" t="s">
        <v>25</v>
      </c>
      <c r="R30" s="10"/>
      <c r="S30" s="12" t="str">
        <f t="shared" si="4"/>
        <v>OK</v>
      </c>
      <c r="T30" s="12" t="str">
        <f t="shared" si="5"/>
        <v>OK</v>
      </c>
    </row>
    <row r="31" spans="1:20" x14ac:dyDescent="0.25">
      <c r="A31" s="6" t="s">
        <v>52</v>
      </c>
      <c r="B31" s="10"/>
      <c r="C31" s="10"/>
      <c r="D31" s="10"/>
      <c r="E31" s="7" t="s">
        <v>24</v>
      </c>
      <c r="F31" s="10"/>
      <c r="G31" s="9" t="s">
        <v>26</v>
      </c>
      <c r="H31" s="9" t="s">
        <v>26</v>
      </c>
      <c r="I31" s="9" t="s">
        <v>26</v>
      </c>
      <c r="J31" s="10"/>
      <c r="K31" s="10"/>
      <c r="L31" s="10"/>
      <c r="M31" s="10"/>
      <c r="N31" s="10"/>
      <c r="O31" s="10"/>
      <c r="P31" s="10"/>
      <c r="Q31" s="8" t="s">
        <v>25</v>
      </c>
      <c r="R31" s="10"/>
      <c r="S31" s="12" t="str">
        <f t="shared" si="4"/>
        <v>OK</v>
      </c>
      <c r="T31" s="12" t="str">
        <f t="shared" si="5"/>
        <v>OK</v>
      </c>
    </row>
    <row r="32" spans="1:20" x14ac:dyDescent="0.25">
      <c r="A32" s="6" t="s">
        <v>53</v>
      </c>
      <c r="B32" s="11" t="s">
        <v>27</v>
      </c>
      <c r="C32" s="10"/>
      <c r="D32" s="7" t="s">
        <v>24</v>
      </c>
      <c r="E32" s="9" t="s">
        <v>26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8" t="s">
        <v>25</v>
      </c>
      <c r="S32" s="12" t="str">
        <f t="shared" si="4"/>
        <v>OK</v>
      </c>
      <c r="T32" s="12" t="str">
        <f t="shared" si="5"/>
        <v>OK</v>
      </c>
    </row>
    <row r="33" spans="1:20" x14ac:dyDescent="0.25">
      <c r="A33" s="6" t="s">
        <v>54</v>
      </c>
      <c r="B33" s="10"/>
      <c r="C33" s="10"/>
      <c r="D33" s="7" t="s">
        <v>24</v>
      </c>
      <c r="E33" s="8" t="s">
        <v>25</v>
      </c>
      <c r="F33" s="9" t="s">
        <v>26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8" t="s">
        <v>25</v>
      </c>
      <c r="R33" s="10"/>
      <c r="S33" s="12" t="str">
        <f t="shared" si="4"/>
        <v>OK</v>
      </c>
      <c r="T33" s="12" t="str">
        <f t="shared" si="5"/>
        <v>OK</v>
      </c>
    </row>
    <row r="34" spans="1:20" x14ac:dyDescent="0.25">
      <c r="A34" s="6" t="s">
        <v>55</v>
      </c>
      <c r="B34" s="10"/>
      <c r="C34" s="10"/>
      <c r="D34" s="11" t="s">
        <v>27</v>
      </c>
      <c r="E34" s="10"/>
      <c r="F34" s="7" t="s">
        <v>24</v>
      </c>
      <c r="G34" s="10"/>
      <c r="H34" s="10"/>
      <c r="I34" s="10"/>
      <c r="J34" s="10"/>
      <c r="K34" s="10"/>
      <c r="L34" s="10"/>
      <c r="M34" s="9" t="s">
        <v>26</v>
      </c>
      <c r="N34" s="10"/>
      <c r="O34" s="10"/>
      <c r="P34" s="10"/>
      <c r="Q34" s="8" t="s">
        <v>25</v>
      </c>
      <c r="R34" s="10"/>
      <c r="S34" s="12" t="str">
        <f t="shared" si="4"/>
        <v>OK</v>
      </c>
      <c r="T34" s="12" t="str">
        <f t="shared" si="5"/>
        <v>OK</v>
      </c>
    </row>
    <row r="35" spans="1:20" x14ac:dyDescent="0.25">
      <c r="A35" s="6" t="s">
        <v>56</v>
      </c>
      <c r="B35" s="10"/>
      <c r="C35" s="10"/>
      <c r="D35" s="11" t="s">
        <v>27</v>
      </c>
      <c r="E35" s="7" t="s">
        <v>24</v>
      </c>
      <c r="F35" s="10"/>
      <c r="G35" s="10"/>
      <c r="H35" s="10"/>
      <c r="I35" s="10"/>
      <c r="J35" s="10"/>
      <c r="K35" s="10"/>
      <c r="L35" s="9" t="s">
        <v>26</v>
      </c>
      <c r="M35" s="10"/>
      <c r="N35" s="10"/>
      <c r="O35" s="10"/>
      <c r="P35" s="10"/>
      <c r="Q35" s="10"/>
      <c r="R35" s="8" t="s">
        <v>25</v>
      </c>
      <c r="S35" s="12" t="str">
        <f t="shared" si="4"/>
        <v>OK</v>
      </c>
      <c r="T35" s="12" t="str">
        <f t="shared" si="5"/>
        <v>OK</v>
      </c>
    </row>
    <row r="36" spans="1:20" x14ac:dyDescent="0.25">
      <c r="A36" s="6" t="s">
        <v>57</v>
      </c>
      <c r="B36" s="10"/>
      <c r="C36" s="10"/>
      <c r="D36" s="10"/>
      <c r="E36" s="7" t="s">
        <v>24</v>
      </c>
      <c r="F36" s="9" t="s">
        <v>26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8" t="s">
        <v>25</v>
      </c>
      <c r="R36" s="10"/>
      <c r="S36" s="12" t="str">
        <f t="shared" si="4"/>
        <v>OK</v>
      </c>
      <c r="T36" s="12" t="str">
        <f t="shared" si="5"/>
        <v>OK</v>
      </c>
    </row>
    <row r="37" spans="1:20" x14ac:dyDescent="0.25">
      <c r="A37" s="6" t="s">
        <v>58</v>
      </c>
      <c r="B37" s="10"/>
      <c r="C37" s="10"/>
      <c r="D37" s="11" t="s">
        <v>27</v>
      </c>
      <c r="E37" s="7" t="s">
        <v>24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8" t="s">
        <v>25</v>
      </c>
      <c r="R37" s="9" t="s">
        <v>26</v>
      </c>
      <c r="S37" s="12" t="str">
        <f t="shared" si="4"/>
        <v>OK</v>
      </c>
      <c r="T37" s="12" t="str">
        <f t="shared" si="5"/>
        <v>OK</v>
      </c>
    </row>
    <row r="38" spans="1:20" x14ac:dyDescent="0.25">
      <c r="A38" s="6" t="s">
        <v>59</v>
      </c>
      <c r="B38" s="10"/>
      <c r="C38" s="10"/>
      <c r="D38" s="10"/>
      <c r="E38" s="7" t="s">
        <v>24</v>
      </c>
      <c r="F38" s="10"/>
      <c r="G38" s="9" t="s">
        <v>26</v>
      </c>
      <c r="H38" s="9" t="s">
        <v>26</v>
      </c>
      <c r="I38" s="10"/>
      <c r="J38" s="10"/>
      <c r="K38" s="10"/>
      <c r="L38" s="10"/>
      <c r="M38" s="10"/>
      <c r="N38" s="10"/>
      <c r="O38" s="10"/>
      <c r="P38" s="10"/>
      <c r="Q38" s="8" t="s">
        <v>25</v>
      </c>
      <c r="R38" s="10"/>
      <c r="S38" s="12" t="str">
        <f t="shared" si="4"/>
        <v>OK</v>
      </c>
      <c r="T38" s="12" t="str">
        <f t="shared" si="5"/>
        <v>OK</v>
      </c>
    </row>
    <row r="39" spans="1:20" x14ac:dyDescent="0.25">
      <c r="A39" s="4" t="s">
        <v>60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x14ac:dyDescent="0.25">
      <c r="A40" s="6" t="s">
        <v>61</v>
      </c>
      <c r="B40" s="10"/>
      <c r="C40" s="10"/>
      <c r="D40" s="8" t="s">
        <v>25</v>
      </c>
      <c r="E40" s="7" t="s">
        <v>24</v>
      </c>
      <c r="F40" s="10"/>
      <c r="G40" s="10"/>
      <c r="H40" s="10"/>
      <c r="I40" s="10"/>
      <c r="J40" s="9" t="s">
        <v>26</v>
      </c>
      <c r="K40" s="9" t="s">
        <v>26</v>
      </c>
      <c r="L40" s="10"/>
      <c r="M40" s="10"/>
      <c r="N40" s="10"/>
      <c r="O40" s="10"/>
      <c r="P40" s="10"/>
      <c r="Q40" s="10"/>
      <c r="R40" s="10"/>
      <c r="S40" s="12" t="str">
        <f>IF(COUNTIF(B40:R40,"A")=1,"OK","ERR")</f>
        <v>OK</v>
      </c>
      <c r="T40" s="12" t="str">
        <f>IF(COUNTIF(B40:R40,"R")&gt;=1,"OK","—")</f>
        <v>OK</v>
      </c>
    </row>
    <row r="41" spans="1:20" x14ac:dyDescent="0.25">
      <c r="A41" s="6" t="s">
        <v>62</v>
      </c>
      <c r="B41" s="10"/>
      <c r="C41" s="10"/>
      <c r="D41" s="10"/>
      <c r="E41" s="7" t="s">
        <v>24</v>
      </c>
      <c r="F41" s="10"/>
      <c r="G41" s="10"/>
      <c r="H41" s="10"/>
      <c r="I41" s="10"/>
      <c r="J41" s="9" t="s">
        <v>26</v>
      </c>
      <c r="K41" s="10"/>
      <c r="L41" s="10"/>
      <c r="M41" s="10"/>
      <c r="N41" s="10"/>
      <c r="O41" s="10"/>
      <c r="P41" s="10"/>
      <c r="Q41" s="10"/>
      <c r="R41" s="8" t="s">
        <v>25</v>
      </c>
      <c r="S41" s="12" t="str">
        <f>IF(COUNTIF(B41:R41,"A")=1,"OK","ERR")</f>
        <v>OK</v>
      </c>
      <c r="T41" s="12" t="str">
        <f>IF(COUNTIF(B41:R41,"R")&gt;=1,"OK","—")</f>
        <v>OK</v>
      </c>
    </row>
    <row r="42" spans="1:20" x14ac:dyDescent="0.25">
      <c r="A42" s="6" t="s">
        <v>63</v>
      </c>
      <c r="B42" s="10"/>
      <c r="C42" s="10"/>
      <c r="D42" s="10"/>
      <c r="E42" s="7" t="s">
        <v>24</v>
      </c>
      <c r="F42" s="10"/>
      <c r="G42" s="10"/>
      <c r="H42" s="10"/>
      <c r="I42" s="10"/>
      <c r="J42" s="9" t="s">
        <v>26</v>
      </c>
      <c r="K42" s="8" t="s">
        <v>25</v>
      </c>
      <c r="L42" s="10"/>
      <c r="M42" s="10"/>
      <c r="N42" s="10"/>
      <c r="O42" s="10"/>
      <c r="P42" s="10"/>
      <c r="Q42" s="10"/>
      <c r="R42" s="10"/>
      <c r="S42" s="12" t="str">
        <f>IF(COUNTIF(B42:R42,"A")=1,"OK","ERR")</f>
        <v>OK</v>
      </c>
      <c r="T42" s="12" t="str">
        <f>IF(COUNTIF(B42:R42,"R")&gt;=1,"OK","—")</f>
        <v>OK</v>
      </c>
    </row>
    <row r="43" spans="1:20" x14ac:dyDescent="0.25">
      <c r="A43" s="6" t="s">
        <v>64</v>
      </c>
      <c r="B43" s="10"/>
      <c r="C43" s="10"/>
      <c r="D43" s="10"/>
      <c r="E43" s="7" t="s">
        <v>24</v>
      </c>
      <c r="F43" s="10"/>
      <c r="G43" s="10"/>
      <c r="H43" s="10"/>
      <c r="I43" s="10"/>
      <c r="J43" s="9" t="s">
        <v>26</v>
      </c>
      <c r="K43" s="8" t="s">
        <v>25</v>
      </c>
      <c r="L43" s="10"/>
      <c r="M43" s="10"/>
      <c r="N43" s="10"/>
      <c r="O43" s="10"/>
      <c r="P43" s="10"/>
      <c r="Q43" s="10"/>
      <c r="R43" s="10"/>
      <c r="S43" s="12" t="str">
        <f>IF(COUNTIF(B43:R43,"A")=1,"OK","ERR")</f>
        <v>OK</v>
      </c>
      <c r="T43" s="12" t="str">
        <f>IF(COUNTIF(B43:R43,"R")&gt;=1,"OK","—")</f>
        <v>OK</v>
      </c>
    </row>
    <row r="44" spans="1:20" x14ac:dyDescent="0.25">
      <c r="A44" s="4" t="s">
        <v>65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x14ac:dyDescent="0.25">
      <c r="A45" s="6" t="s">
        <v>66</v>
      </c>
      <c r="B45" s="10"/>
      <c r="C45" s="10"/>
      <c r="D45" s="7" t="s">
        <v>24</v>
      </c>
      <c r="E45" s="8" t="s">
        <v>25</v>
      </c>
      <c r="F45" s="10"/>
      <c r="G45" s="10"/>
      <c r="H45" s="10"/>
      <c r="I45" s="10"/>
      <c r="J45" s="10"/>
      <c r="K45" s="10"/>
      <c r="L45" s="10"/>
      <c r="M45" s="10"/>
      <c r="N45" s="9" t="s">
        <v>26</v>
      </c>
      <c r="O45" s="10"/>
      <c r="P45" s="10"/>
      <c r="Q45" s="8" t="s">
        <v>25</v>
      </c>
      <c r="R45" s="10"/>
      <c r="S45" s="12" t="str">
        <f>IF(COUNTIF(B45:R45,"A")=1,"OK","ERR")</f>
        <v>OK</v>
      </c>
      <c r="T45" s="12" t="str">
        <f>IF(COUNTIF(B45:R45,"R")&gt;=1,"OK","—")</f>
        <v>OK</v>
      </c>
    </row>
    <row r="46" spans="1:20" x14ac:dyDescent="0.25">
      <c r="A46" s="6" t="s">
        <v>67</v>
      </c>
      <c r="B46" s="10"/>
      <c r="C46" s="10"/>
      <c r="D46" s="7" t="s">
        <v>24</v>
      </c>
      <c r="E46" s="10"/>
      <c r="F46" s="10"/>
      <c r="G46" s="8" t="s">
        <v>25</v>
      </c>
      <c r="H46" s="8" t="s">
        <v>25</v>
      </c>
      <c r="I46" s="10"/>
      <c r="J46" s="10"/>
      <c r="K46" s="10"/>
      <c r="L46" s="8" t="s">
        <v>25</v>
      </c>
      <c r="M46" s="10"/>
      <c r="N46" s="9" t="s">
        <v>26</v>
      </c>
      <c r="O46" s="10"/>
      <c r="P46" s="10"/>
      <c r="Q46" s="10"/>
      <c r="R46" s="10"/>
      <c r="S46" s="12" t="str">
        <f>IF(COUNTIF(B46:R46,"A")=1,"OK","ERR")</f>
        <v>OK</v>
      </c>
      <c r="T46" s="12" t="str">
        <f>IF(COUNTIF(B46:R46,"R")&gt;=1,"OK","—")</f>
        <v>OK</v>
      </c>
    </row>
    <row r="47" spans="1:20" x14ac:dyDescent="0.25">
      <c r="A47" s="6" t="s">
        <v>68</v>
      </c>
      <c r="B47" s="10"/>
      <c r="C47" s="10"/>
      <c r="D47" s="7" t="s">
        <v>24</v>
      </c>
      <c r="E47" s="10"/>
      <c r="F47" s="10"/>
      <c r="G47" s="10"/>
      <c r="H47" s="10"/>
      <c r="I47" s="10"/>
      <c r="J47" s="11" t="s">
        <v>27</v>
      </c>
      <c r="K47" s="10"/>
      <c r="L47" s="11" t="s">
        <v>27</v>
      </c>
      <c r="M47" s="10"/>
      <c r="N47" s="9" t="s">
        <v>26</v>
      </c>
      <c r="O47" s="10"/>
      <c r="P47" s="10"/>
      <c r="Q47" s="10"/>
      <c r="R47" s="10"/>
      <c r="S47" s="12" t="str">
        <f>IF(COUNTIF(B47:R47,"A")=1,"OK","ERR")</f>
        <v>OK</v>
      </c>
      <c r="T47" s="12" t="str">
        <f>IF(COUNTIF(B47:R47,"R")&gt;=1,"OK","—")</f>
        <v>OK</v>
      </c>
    </row>
    <row r="48" spans="1:20" x14ac:dyDescent="0.25">
      <c r="A48" s="6" t="s">
        <v>69</v>
      </c>
      <c r="B48" s="10"/>
      <c r="C48" s="10"/>
      <c r="D48" s="11" t="s">
        <v>27</v>
      </c>
      <c r="E48" s="10"/>
      <c r="F48" s="10"/>
      <c r="G48" s="10"/>
      <c r="H48" s="10"/>
      <c r="I48" s="10"/>
      <c r="J48" s="9" t="s">
        <v>26</v>
      </c>
      <c r="K48" s="9" t="s">
        <v>26</v>
      </c>
      <c r="L48" s="9" t="s">
        <v>26</v>
      </c>
      <c r="M48" s="10"/>
      <c r="N48" s="7" t="s">
        <v>24</v>
      </c>
      <c r="O48" s="10"/>
      <c r="P48" s="10"/>
      <c r="Q48" s="10"/>
      <c r="R48" s="10"/>
      <c r="S48" s="12" t="str">
        <f>IF(COUNTIF(B48:R48,"A")=1,"OK","ERR")</f>
        <v>OK</v>
      </c>
      <c r="T48" s="12" t="str">
        <f>IF(COUNTIF(B48:R48,"R")&gt;=1,"OK","—")</f>
        <v>OK</v>
      </c>
    </row>
    <row r="49" spans="1:20" x14ac:dyDescent="0.25">
      <c r="A49" s="6" t="s">
        <v>70</v>
      </c>
      <c r="B49" s="7" t="s">
        <v>24</v>
      </c>
      <c r="C49" s="10"/>
      <c r="D49" s="8" t="s">
        <v>25</v>
      </c>
      <c r="E49" s="10"/>
      <c r="F49" s="10"/>
      <c r="G49" s="10"/>
      <c r="H49" s="10"/>
      <c r="I49" s="10"/>
      <c r="J49" s="10"/>
      <c r="K49" s="10"/>
      <c r="L49" s="10"/>
      <c r="M49" s="10"/>
      <c r="N49" s="9" t="s">
        <v>26</v>
      </c>
      <c r="O49" s="10"/>
      <c r="P49" s="10"/>
      <c r="Q49" s="8" t="s">
        <v>25</v>
      </c>
      <c r="R49" s="10"/>
      <c r="S49" s="12" t="str">
        <f>IF(COUNTIF(B49:R49,"A")=1,"OK","ERR")</f>
        <v>OK</v>
      </c>
      <c r="T49" s="12" t="str">
        <f>IF(COUNTIF(B49:R49,"R")&gt;=1,"OK","—")</f>
        <v>OK</v>
      </c>
    </row>
    <row r="50" spans="1:20" x14ac:dyDescent="0.25">
      <c r="A50" s="4" t="s">
        <v>71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6" t="s">
        <v>72</v>
      </c>
      <c r="B51" s="10"/>
      <c r="C51" s="10"/>
      <c r="D51" s="7" t="s">
        <v>24</v>
      </c>
      <c r="E51" s="8" t="s">
        <v>25</v>
      </c>
      <c r="F51" s="10"/>
      <c r="G51" s="10"/>
      <c r="H51" s="10"/>
      <c r="I51" s="10"/>
      <c r="J51" s="10"/>
      <c r="K51" s="10"/>
      <c r="L51" s="10"/>
      <c r="M51" s="8" t="s">
        <v>25</v>
      </c>
      <c r="N51" s="10"/>
      <c r="O51" s="10"/>
      <c r="P51" s="10"/>
      <c r="Q51" s="10"/>
      <c r="R51" s="9" t="s">
        <v>26</v>
      </c>
      <c r="S51" s="12" t="str">
        <f t="shared" ref="S51:S56" si="6">IF(COUNTIF(B51:R51,"A")=1,"OK","ERR")</f>
        <v>OK</v>
      </c>
      <c r="T51" s="12" t="str">
        <f t="shared" ref="T51:T56" si="7">IF(COUNTIF(B51:R51,"R")&gt;=1,"OK","—")</f>
        <v>OK</v>
      </c>
    </row>
    <row r="52" spans="1:20" x14ac:dyDescent="0.25">
      <c r="A52" s="6" t="s">
        <v>73</v>
      </c>
      <c r="B52" s="10"/>
      <c r="C52" s="10"/>
      <c r="D52" s="11" t="s">
        <v>27</v>
      </c>
      <c r="E52" s="10"/>
      <c r="F52" s="7" t="s">
        <v>24</v>
      </c>
      <c r="G52" s="10"/>
      <c r="H52" s="10"/>
      <c r="I52" s="10"/>
      <c r="J52" s="10"/>
      <c r="K52" s="10"/>
      <c r="L52" s="10"/>
      <c r="M52" s="9" t="s">
        <v>26</v>
      </c>
      <c r="N52" s="10"/>
      <c r="O52" s="10"/>
      <c r="P52" s="10"/>
      <c r="Q52" s="8" t="s">
        <v>25</v>
      </c>
      <c r="R52" s="10"/>
      <c r="S52" s="12" t="str">
        <f t="shared" si="6"/>
        <v>OK</v>
      </c>
      <c r="T52" s="12" t="str">
        <f t="shared" si="7"/>
        <v>OK</v>
      </c>
    </row>
    <row r="53" spans="1:20" x14ac:dyDescent="0.25">
      <c r="A53" s="6" t="s">
        <v>74</v>
      </c>
      <c r="B53" s="10"/>
      <c r="C53" s="10"/>
      <c r="D53" s="7" t="s">
        <v>24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8" t="s">
        <v>25</v>
      </c>
      <c r="P53" s="9" t="s">
        <v>26</v>
      </c>
      <c r="Q53" s="8" t="s">
        <v>25</v>
      </c>
      <c r="R53" s="10"/>
      <c r="S53" s="12" t="str">
        <f t="shared" si="6"/>
        <v>OK</v>
      </c>
      <c r="T53" s="12" t="str">
        <f t="shared" si="7"/>
        <v>OK</v>
      </c>
    </row>
    <row r="54" spans="1:20" x14ac:dyDescent="0.25">
      <c r="A54" s="6" t="s">
        <v>75</v>
      </c>
      <c r="B54" s="10"/>
      <c r="C54" s="7" t="s">
        <v>24</v>
      </c>
      <c r="D54" s="9" t="s">
        <v>26</v>
      </c>
      <c r="E54" s="10"/>
      <c r="F54" s="10"/>
      <c r="G54" s="10"/>
      <c r="H54" s="10"/>
      <c r="I54" s="10"/>
      <c r="J54" s="10"/>
      <c r="K54" s="10"/>
      <c r="L54" s="10"/>
      <c r="M54" s="10"/>
      <c r="N54" s="8" t="s">
        <v>25</v>
      </c>
      <c r="O54" s="10"/>
      <c r="P54" s="10"/>
      <c r="Q54" s="8" t="s">
        <v>25</v>
      </c>
      <c r="R54" s="8" t="s">
        <v>25</v>
      </c>
      <c r="S54" s="12" t="str">
        <f t="shared" si="6"/>
        <v>OK</v>
      </c>
      <c r="T54" s="12" t="str">
        <f t="shared" si="7"/>
        <v>OK</v>
      </c>
    </row>
    <row r="55" spans="1:20" x14ac:dyDescent="0.25">
      <c r="A55" s="6" t="s">
        <v>76</v>
      </c>
      <c r="B55" s="10"/>
      <c r="C55" s="10"/>
      <c r="D55" s="7" t="s">
        <v>24</v>
      </c>
      <c r="E55" s="10"/>
      <c r="F55" s="10"/>
      <c r="G55" s="10"/>
      <c r="H55" s="10"/>
      <c r="I55" s="10"/>
      <c r="J55" s="10"/>
      <c r="K55" s="10"/>
      <c r="L55" s="10"/>
      <c r="M55" s="10"/>
      <c r="N55" s="9" t="s">
        <v>26</v>
      </c>
      <c r="O55" s="10"/>
      <c r="P55" s="10"/>
      <c r="Q55" s="8" t="s">
        <v>25</v>
      </c>
      <c r="R55" s="11" t="s">
        <v>27</v>
      </c>
      <c r="S55" s="12" t="str">
        <f t="shared" si="6"/>
        <v>OK</v>
      </c>
      <c r="T55" s="12" t="str">
        <f t="shared" si="7"/>
        <v>OK</v>
      </c>
    </row>
    <row r="56" spans="1:20" x14ac:dyDescent="0.25">
      <c r="A56" s="6" t="s">
        <v>77</v>
      </c>
      <c r="B56" s="10"/>
      <c r="C56" s="10"/>
      <c r="D56" s="7" t="s">
        <v>24</v>
      </c>
      <c r="E56" s="8" t="s">
        <v>25</v>
      </c>
      <c r="F56" s="10"/>
      <c r="G56" s="10"/>
      <c r="H56" s="10"/>
      <c r="I56" s="10"/>
      <c r="J56" s="8" t="s">
        <v>25</v>
      </c>
      <c r="K56" s="10"/>
      <c r="L56" s="10"/>
      <c r="M56" s="10"/>
      <c r="N56" s="10"/>
      <c r="O56" s="10"/>
      <c r="P56" s="10"/>
      <c r="Q56" s="10"/>
      <c r="R56" s="9" t="s">
        <v>26</v>
      </c>
      <c r="S56" s="12" t="str">
        <f t="shared" si="6"/>
        <v>OK</v>
      </c>
      <c r="T56" s="12" t="str">
        <f t="shared" si="7"/>
        <v>OK</v>
      </c>
    </row>
    <row r="57" spans="1:20" x14ac:dyDescent="0.25">
      <c r="A57" s="4" t="s">
        <v>78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x14ac:dyDescent="0.25">
      <c r="A58" s="6" t="s">
        <v>79</v>
      </c>
      <c r="B58" s="10"/>
      <c r="C58" s="10"/>
      <c r="D58" s="7" t="s">
        <v>24</v>
      </c>
      <c r="E58" s="10"/>
      <c r="F58" s="10"/>
      <c r="G58" s="8" t="s">
        <v>25</v>
      </c>
      <c r="H58" s="8" t="s">
        <v>25</v>
      </c>
      <c r="I58" s="10"/>
      <c r="J58" s="10"/>
      <c r="K58" s="10"/>
      <c r="L58" s="10"/>
      <c r="M58" s="10"/>
      <c r="N58" s="10"/>
      <c r="O58" s="9" t="s">
        <v>26</v>
      </c>
      <c r="P58" s="8" t="s">
        <v>25</v>
      </c>
      <c r="Q58" s="10"/>
      <c r="R58" s="10"/>
      <c r="S58" s="12" t="str">
        <f>IF(COUNTIF(B58:R58,"A")=1,"OK","ERR")</f>
        <v>OK</v>
      </c>
      <c r="T58" s="12" t="str">
        <f>IF(COUNTIF(B58:R58,"R")&gt;=1,"OK","—")</f>
        <v>OK</v>
      </c>
    </row>
    <row r="59" spans="1:20" x14ac:dyDescent="0.25">
      <c r="A59" s="6" t="s">
        <v>80</v>
      </c>
      <c r="B59" s="10"/>
      <c r="C59" s="10"/>
      <c r="D59" s="7" t="s">
        <v>24</v>
      </c>
      <c r="E59" s="8" t="s">
        <v>25</v>
      </c>
      <c r="F59" s="10"/>
      <c r="G59" s="10"/>
      <c r="H59" s="10"/>
      <c r="I59" s="10"/>
      <c r="J59" s="10"/>
      <c r="K59" s="10"/>
      <c r="L59" s="10"/>
      <c r="M59" s="10"/>
      <c r="N59" s="10"/>
      <c r="O59" s="9" t="s">
        <v>26</v>
      </c>
      <c r="P59" s="10"/>
      <c r="Q59" s="10"/>
      <c r="R59" s="8" t="s">
        <v>25</v>
      </c>
      <c r="S59" s="12" t="str">
        <f>IF(COUNTIF(B59:R59,"A")=1,"OK","ERR")</f>
        <v>OK</v>
      </c>
      <c r="T59" s="12" t="str">
        <f>IF(COUNTIF(B59:R59,"R")&gt;=1,"OK","—")</f>
        <v>OK</v>
      </c>
    </row>
    <row r="60" spans="1:20" ht="25.5" x14ac:dyDescent="0.25">
      <c r="A60" s="6" t="s">
        <v>81</v>
      </c>
      <c r="B60" s="10"/>
      <c r="C60" s="10"/>
      <c r="D60" s="7" t="s">
        <v>24</v>
      </c>
      <c r="E60" s="8" t="s">
        <v>25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9" t="s">
        <v>26</v>
      </c>
      <c r="S60" s="12" t="str">
        <f>IF(COUNTIF(B60:R60,"A")=1,"OK","ERR")</f>
        <v>OK</v>
      </c>
      <c r="T60" s="12" t="str">
        <f>IF(COUNTIF(B60:R60,"R")&gt;=1,"OK","—")</f>
        <v>OK</v>
      </c>
    </row>
    <row r="61" spans="1:20" x14ac:dyDescent="0.25">
      <c r="A61" s="6" t="s">
        <v>82</v>
      </c>
      <c r="B61" s="10"/>
      <c r="C61" s="10"/>
      <c r="D61" s="7" t="s">
        <v>24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9" t="s">
        <v>26</v>
      </c>
      <c r="P61" s="8" t="s">
        <v>25</v>
      </c>
      <c r="Q61" s="8" t="s">
        <v>25</v>
      </c>
      <c r="R61" s="10"/>
      <c r="S61" s="12" t="str">
        <f>IF(COUNTIF(B61:R61,"A")=1,"OK","ERR")</f>
        <v>OK</v>
      </c>
      <c r="T61" s="12" t="str">
        <f>IF(COUNTIF(B61:R61,"R")&gt;=1,"OK","—")</f>
        <v>OK</v>
      </c>
    </row>
    <row r="62" spans="1:20" x14ac:dyDescent="0.25">
      <c r="A62" s="4" t="s">
        <v>83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x14ac:dyDescent="0.25">
      <c r="A63" s="6" t="s">
        <v>84</v>
      </c>
      <c r="B63" s="7" t="s">
        <v>24</v>
      </c>
      <c r="C63" s="8" t="s">
        <v>25</v>
      </c>
      <c r="D63" s="9" t="s">
        <v>26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8" t="s">
        <v>25</v>
      </c>
      <c r="R63" s="10"/>
      <c r="S63" s="12" t="str">
        <f>IF(COUNTIF(B63:R63,"A")=1,"OK","ERR")</f>
        <v>OK</v>
      </c>
      <c r="T63" s="12" t="str">
        <f>IF(COUNTIF(B63:R63,"R")&gt;=1,"OK","—")</f>
        <v>OK</v>
      </c>
    </row>
    <row r="64" spans="1:20" x14ac:dyDescent="0.25">
      <c r="A64" s="6" t="s">
        <v>85</v>
      </c>
      <c r="B64" s="7" t="s">
        <v>24</v>
      </c>
      <c r="C64" s="8" t="s">
        <v>25</v>
      </c>
      <c r="D64" s="9" t="s">
        <v>26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2" t="str">
        <f>IF(COUNTIF(B64:R64,"A")=1,"OK","ERR")</f>
        <v>OK</v>
      </c>
      <c r="T64" s="12" t="str">
        <f>IF(COUNTIF(B64:R64,"R")&gt;=1,"OK","—")</f>
        <v>OK</v>
      </c>
    </row>
    <row r="65" spans="1:20" x14ac:dyDescent="0.25">
      <c r="A65" s="6" t="s">
        <v>86</v>
      </c>
      <c r="B65" s="10"/>
      <c r="C65" s="7" t="s">
        <v>24</v>
      </c>
      <c r="D65" s="9" t="s">
        <v>26</v>
      </c>
      <c r="E65" s="8" t="s">
        <v>25</v>
      </c>
      <c r="F65" s="10"/>
      <c r="G65" s="10"/>
      <c r="H65" s="10"/>
      <c r="I65" s="10"/>
      <c r="J65" s="10"/>
      <c r="K65" s="10"/>
      <c r="L65" s="10"/>
      <c r="M65" s="10"/>
      <c r="N65" s="8" t="s">
        <v>25</v>
      </c>
      <c r="O65" s="10"/>
      <c r="P65" s="10"/>
      <c r="Q65" s="10"/>
      <c r="R65" s="10"/>
      <c r="S65" s="12" t="str">
        <f>IF(COUNTIF(B65:R65,"A")=1,"OK","ERR")</f>
        <v>OK</v>
      </c>
      <c r="T65" s="12" t="str">
        <f>IF(COUNTIF(B65:R65,"R")&gt;=1,"OK","—")</f>
        <v>OK</v>
      </c>
    </row>
    <row r="66" spans="1:20" x14ac:dyDescent="0.25">
      <c r="A66" s="6" t="s">
        <v>87</v>
      </c>
      <c r="B66" s="10"/>
      <c r="C66" s="10"/>
      <c r="D66" s="7" t="s">
        <v>24</v>
      </c>
      <c r="E66" s="8" t="s">
        <v>25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9" t="s">
        <v>26</v>
      </c>
      <c r="S66" s="12" t="str">
        <f>IF(COUNTIF(B66:R66,"A")=1,"OK","ERR")</f>
        <v>OK</v>
      </c>
      <c r="T66" s="12" t="str">
        <f>IF(COUNTIF(B66:R66,"R")&gt;=1,"OK","—")</f>
        <v>OK</v>
      </c>
    </row>
  </sheetData>
  <conditionalFormatting sqref="S5:S66">
    <cfRule type="cellIs" dxfId="3" priority="2" operator="equal">
      <formula>"ERR"</formula>
    </cfRule>
    <cfRule type="cellIs" dxfId="2" priority="3" operator="equal">
      <formula>"OK"</formula>
    </cfRule>
  </conditionalFormatting>
  <conditionalFormatting sqref="T5:T66">
    <cfRule type="cellIs" dxfId="1" priority="4" operator="equal">
      <formula>"ERR"</formula>
    </cfRule>
    <cfRule type="cellIs" dxfId="0" priority="5" operator="equal">
      <formula>"OK"</formula>
    </cfRule>
  </conditionalFormatting>
  <dataValidations count="1">
    <dataValidation type="list" allowBlank="1" errorTitle="RACI" error="Допустимо: R, A, C, I" sqref="B5:R66" xr:uid="{00000000-0002-0000-0000-000000000000}">
      <formula1>"R,A,C,I"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3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" customWidth="1"/>
    <col min="3" max="3" width="80" customWidth="1"/>
  </cols>
  <sheetData>
    <row r="2" spans="2:3" ht="18" x14ac:dyDescent="0.25">
      <c r="B2" s="13" t="s">
        <v>88</v>
      </c>
    </row>
    <row r="4" spans="2:3" ht="15.75" x14ac:dyDescent="0.25">
      <c r="B4" s="14" t="s">
        <v>89</v>
      </c>
    </row>
    <row r="5" spans="2:3" ht="15.75" x14ac:dyDescent="0.25">
      <c r="B5" s="15" t="s">
        <v>26</v>
      </c>
      <c r="C5" s="16" t="s">
        <v>90</v>
      </c>
    </row>
    <row r="6" spans="2:3" ht="15.75" x14ac:dyDescent="0.25">
      <c r="B6" s="17" t="s">
        <v>24</v>
      </c>
      <c r="C6" s="16" t="s">
        <v>91</v>
      </c>
    </row>
    <row r="7" spans="2:3" ht="15.75" x14ac:dyDescent="0.25">
      <c r="B7" s="18" t="s">
        <v>25</v>
      </c>
      <c r="C7" s="16" t="s">
        <v>92</v>
      </c>
    </row>
    <row r="8" spans="2:3" ht="15.75" x14ac:dyDescent="0.25">
      <c r="B8" s="19" t="s">
        <v>27</v>
      </c>
      <c r="C8" s="16" t="s">
        <v>93</v>
      </c>
    </row>
    <row r="10" spans="2:3" ht="15.75" x14ac:dyDescent="0.25">
      <c r="B10" s="14" t="s">
        <v>94</v>
      </c>
    </row>
    <row r="11" spans="2:3" x14ac:dyDescent="0.25">
      <c r="B11" s="3" t="s">
        <v>95</v>
      </c>
      <c r="C11" s="3" t="s">
        <v>96</v>
      </c>
    </row>
    <row r="12" spans="2:3" x14ac:dyDescent="0.25">
      <c r="B12" s="20" t="s">
        <v>3</v>
      </c>
      <c r="C12" s="21" t="s">
        <v>97</v>
      </c>
    </row>
    <row r="13" spans="2:3" x14ac:dyDescent="0.25">
      <c r="B13" s="20" t="s">
        <v>4</v>
      </c>
      <c r="C13" s="21" t="s">
        <v>98</v>
      </c>
    </row>
    <row r="14" spans="2:3" x14ac:dyDescent="0.25">
      <c r="B14" s="20" t="s">
        <v>5</v>
      </c>
      <c r="C14" s="21" t="s">
        <v>99</v>
      </c>
    </row>
    <row r="15" spans="2:3" x14ac:dyDescent="0.25">
      <c r="B15" s="20" t="s">
        <v>6</v>
      </c>
      <c r="C15" s="21" t="s">
        <v>100</v>
      </c>
    </row>
    <row r="16" spans="2:3" x14ac:dyDescent="0.25">
      <c r="B16" s="20" t="s">
        <v>7</v>
      </c>
      <c r="C16" s="21" t="s">
        <v>101</v>
      </c>
    </row>
    <row r="17" spans="2:3" x14ac:dyDescent="0.25">
      <c r="B17" s="20" t="s">
        <v>8</v>
      </c>
      <c r="C17" s="21" t="s">
        <v>102</v>
      </c>
    </row>
    <row r="18" spans="2:3" x14ac:dyDescent="0.25">
      <c r="B18" s="20" t="s">
        <v>9</v>
      </c>
      <c r="C18" s="21" t="s">
        <v>103</v>
      </c>
    </row>
    <row r="19" spans="2:3" x14ac:dyDescent="0.25">
      <c r="B19" s="20" t="s">
        <v>10</v>
      </c>
      <c r="C19" s="21" t="s">
        <v>104</v>
      </c>
    </row>
    <row r="20" spans="2:3" x14ac:dyDescent="0.25">
      <c r="B20" s="20" t="s">
        <v>11</v>
      </c>
      <c r="C20" s="21" t="s">
        <v>105</v>
      </c>
    </row>
    <row r="21" spans="2:3" x14ac:dyDescent="0.25">
      <c r="B21" s="20" t="s">
        <v>12</v>
      </c>
      <c r="C21" s="21" t="s">
        <v>106</v>
      </c>
    </row>
    <row r="22" spans="2:3" x14ac:dyDescent="0.25">
      <c r="B22" s="20" t="s">
        <v>13</v>
      </c>
      <c r="C22" s="21" t="s">
        <v>107</v>
      </c>
    </row>
    <row r="23" spans="2:3" x14ac:dyDescent="0.25">
      <c r="B23" s="20" t="s">
        <v>14</v>
      </c>
      <c r="C23" s="21" t="s">
        <v>108</v>
      </c>
    </row>
    <row r="24" spans="2:3" x14ac:dyDescent="0.25">
      <c r="B24" s="20" t="s">
        <v>15</v>
      </c>
      <c r="C24" s="21" t="s">
        <v>109</v>
      </c>
    </row>
    <row r="25" spans="2:3" x14ac:dyDescent="0.25">
      <c r="B25" s="20" t="s">
        <v>16</v>
      </c>
      <c r="C25" s="21" t="s">
        <v>110</v>
      </c>
    </row>
    <row r="26" spans="2:3" x14ac:dyDescent="0.25">
      <c r="B26" s="20" t="s">
        <v>17</v>
      </c>
      <c r="C26" s="21" t="s">
        <v>111</v>
      </c>
    </row>
    <row r="27" spans="2:3" x14ac:dyDescent="0.25">
      <c r="B27" s="20" t="s">
        <v>18</v>
      </c>
      <c r="C27" s="21" t="s">
        <v>112</v>
      </c>
    </row>
    <row r="28" spans="2:3" x14ac:dyDescent="0.25">
      <c r="B28" s="20" t="s">
        <v>19</v>
      </c>
      <c r="C28" s="21" t="s">
        <v>113</v>
      </c>
    </row>
    <row r="30" spans="2:3" ht="15.75" x14ac:dyDescent="0.25">
      <c r="B30" s="14" t="s">
        <v>114</v>
      </c>
    </row>
    <row r="31" spans="2:3" ht="25.5" customHeight="1" x14ac:dyDescent="0.25">
      <c r="C31" s="22" t="s">
        <v>115</v>
      </c>
    </row>
    <row r="32" spans="2:3" ht="25.5" customHeight="1" x14ac:dyDescent="0.25">
      <c r="C32" s="22" t="s">
        <v>116</v>
      </c>
    </row>
    <row r="33" spans="3:3" ht="25.5" customHeight="1" x14ac:dyDescent="0.25">
      <c r="C33" s="22" t="s">
        <v>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RACI</vt:lpstr>
      <vt:lpstr>Легенда и роли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Руслан Халилов</cp:lastModifiedBy>
  <cp:revision>0</cp:revision>
  <dcterms:created xsi:type="dcterms:W3CDTF">2026-06-19T14:44:34Z</dcterms:created>
  <dcterms:modified xsi:type="dcterms:W3CDTF">2026-06-19T16:15:47Z</dcterms:modified>
  <dc:language>en-US</dc:language>
</cp:coreProperties>
</file>