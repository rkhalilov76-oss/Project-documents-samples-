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Реестр документов" sheetId="2" state="visible" r:id="rId4"/>
    <sheet name="Сводка" sheetId="3" state="visible" r:id="rId5"/>
    <sheet name="Справочники" sheetId="4" state="visible" r:id="rId6"/>
    <sheet name="Журнал изменений" sheetId="5" state="visible" r:id="rId7"/>
  </sheets>
  <definedNames>
    <definedName function="false" hidden="true" localSheetId="1" name="_xlnm._FilterDatabase" vbProcedure="false">'Реестр документов'!$A$2:$H$65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<sst xmlns="http://schemas.openxmlformats.org/spreadsheetml/2006/main" count="471" uniqueCount="250">
  <si>
    <t xml:space="preserve">РЕЕСТР ПРОЕКТНЫХ ДОКУМЕНТОВ</t>
  </si>
  <si>
    <t xml:space="preserve">Document Register — единый перечень документов проекта (источник истины)</t>
  </si>
  <si>
    <t xml:space="preserve">Проект:</t>
  </si>
  <si>
    <t xml:space="preserve">[Наименование проекта]</t>
  </si>
  <si>
    <t xml:space="preserve">Заказчик:</t>
  </si>
  <si>
    <t xml:space="preserve">[Компания-Заказчик]</t>
  </si>
  <si>
    <t xml:space="preserve">Версия документа:</t>
  </si>
  <si>
    <t xml:space="preserve">[1.0]</t>
  </si>
  <si>
    <t xml:space="preserve">Дата:</t>
  </si>
  <si>
    <t xml:space="preserve">[ДД.ММ.ГГГГ]</t>
  </si>
  <si>
    <t xml:space="preserve">Владелец документа:</t>
  </si>
  <si>
    <t xml:space="preserve">[Руководитель проекта]</t>
  </si>
  <si>
    <t xml:space="preserve">Назначение</t>
  </si>
  <si>
    <t xml:space="preserve">Единый перечень всех проектных документов — источник истины для состава документации. С ним сверяются прочие документы (матрица RACI, план управления) для консистентности названий, состава и статусов. Отражает: фазу, тип артефакта, формат, статус готовности шаблона, ответственного и связи. Канонические наименования из этого реестра обязательны к использованию во всех документах.</t>
  </si>
  <si>
    <t xml:space="preserve">Как пользоваться</t>
  </si>
  <si>
    <t xml:space="preserve">•  Колонка «Статус шаблона»: Готов — шаблон создан; Не создан — в планах; Не требуется — исключён из объёма.</t>
  </si>
  <si>
    <t xml:space="preserve">•  Колонка «Каноническое наименование» — единственно верное название; используйте именно его везде.</t>
  </si>
  <si>
    <t xml:space="preserve">•  Колонка «Файл шаблона» — имя файла готового шаблона (если есть).</t>
  </si>
  <si>
    <t xml:space="preserve">•  При создании нового документа добавляйте строку сюда ПЕРВЫМ делом, затем заводите файл.</t>
  </si>
  <si>
    <t xml:space="preserve">•  Сводка показывает прогресс по фазам: сколько готово / в планах.</t>
  </si>
  <si>
    <t xml:space="preserve">Реестр проектных документов</t>
  </si>
  <si>
    <t xml:space="preserve">№</t>
  </si>
  <si>
    <t xml:space="preserve">Каноническое наименование</t>
  </si>
  <si>
    <t xml:space="preserve">Тип артефакта</t>
  </si>
  <si>
    <t xml:space="preserve">Формат</t>
  </si>
  <si>
    <t xml:space="preserve">Статус шаблона</t>
  </si>
  <si>
    <t xml:space="preserve">Файл шаблона</t>
  </si>
  <si>
    <t xml:space="preserve">Ответственный (роль)</t>
  </si>
  <si>
    <t xml:space="preserve">Связанные документы / примечание</t>
  </si>
  <si>
    <t xml:space="preserve">1. Инициация и управление</t>
  </si>
  <si>
    <t xml:space="preserve">Системный промт проекта</t>
  </si>
  <si>
    <t xml:space="preserve">Промт/методология</t>
  </si>
  <si>
    <t xml:space="preserve">.md</t>
  </si>
  <si>
    <t xml:space="preserve">Готов</t>
  </si>
  <si>
    <t xml:space="preserve">sistemnyy_promt_proekta.md</t>
  </si>
  <si>
    <t xml:space="preserve">РП/Методолог</t>
  </si>
  <si>
    <t xml:space="preserve">Методологическая основа всех документов</t>
  </si>
  <si>
    <t xml:space="preserve">Устав проекта</t>
  </si>
  <si>
    <t xml:space="preserve">Документ (шаблон)</t>
  </si>
  <si>
    <t xml:space="preserve">.docx</t>
  </si>
  <si>
    <t xml:space="preserve">Ustav_proekta_shablon.docx</t>
  </si>
  <si>
    <t xml:space="preserve">РП</t>
  </si>
  <si>
    <t xml:space="preserve">Основной документ инициации</t>
  </si>
  <si>
    <t xml:space="preserve">Паспорт проекта</t>
  </si>
  <si>
    <t xml:space="preserve">Pasport_proekta_shablon.docx</t>
  </si>
  <si>
    <t xml:space="preserve">Сводная карточка; ссылается на Устав</t>
  </si>
  <si>
    <t xml:space="preserve">План управления проектом</t>
  </si>
  <si>
    <t xml:space="preserve">Plan_upravleniya_proektom_shablon.docx</t>
  </si>
  <si>
    <t xml:space="preserve">Зонтичный, 10 областей знаний</t>
  </si>
  <si>
    <t xml:space="preserve">Реестр стейкхолдеров и матрица влияния/интересов</t>
  </si>
  <si>
    <t xml:space="preserve">Реестр/журнал</t>
  </si>
  <si>
    <t xml:space="preserve">.xlsx</t>
  </si>
  <si>
    <t xml:space="preserve">Reestr_steykholderov_shablon.xlsx</t>
  </si>
  <si>
    <t xml:space="preserve">Матрица Менделоу внутри</t>
  </si>
  <si>
    <t xml:space="preserve">Организационная структура проекта</t>
  </si>
  <si>
    <t xml:space="preserve">Organizacionnaya_struktura_proekta_shablon.docx</t>
  </si>
  <si>
    <t xml:space="preserve">Оргструктура и роли (в Уставе р.10 — кратко)</t>
  </si>
  <si>
    <t xml:space="preserve">Матрица ответственности RACI</t>
  </si>
  <si>
    <t xml:space="preserve">Матрица</t>
  </si>
  <si>
    <t xml:space="preserve">Matrica_RACI_artefakty.xlsx</t>
  </si>
  <si>
    <t xml:space="preserve">Артефакты × роли; сверяется с этим реестром</t>
  </si>
  <si>
    <t xml:space="preserve">Реестр рисков</t>
  </si>
  <si>
    <t xml:space="preserve">Reestr_riskov_shablon.xlsx</t>
  </si>
  <si>
    <t xml:space="preserve">Связан с Issue Log по R-ID</t>
  </si>
  <si>
    <t xml:space="preserve">Реестр проблем (Issue Log)</t>
  </si>
  <si>
    <t xml:space="preserve">Reestr_problem_Issue_Log.xlsx</t>
  </si>
  <si>
    <t xml:space="preserve">Связь с рисками по R-ID</t>
  </si>
  <si>
    <t xml:space="preserve">Матрица коммуникаций</t>
  </si>
  <si>
    <t xml:space="preserve">Matrica_kommunikaciy.xlsx</t>
  </si>
  <si>
    <t xml:space="preserve">Раскрывает раздел 9 Плана управления</t>
  </si>
  <si>
    <t xml:space="preserve">План управления изменениями</t>
  </si>
  <si>
    <t xml:space="preserve">Plan_upravleniya_izmeneniyami_shablon.docx</t>
  </si>
  <si>
    <t xml:space="preserve">CR/scope; детализ. р.14 PMP</t>
  </si>
  <si>
    <t xml:space="preserve">Реестр запросов на изменение</t>
  </si>
  <si>
    <t xml:space="preserve">Reestr_zaprosov_na_izmenenie.xlsx</t>
  </si>
  <si>
    <t xml:space="preserve">Операционный журнал к Плану упр. изм.</t>
  </si>
  <si>
    <t xml:space="preserve">Календарный план</t>
  </si>
  <si>
    <t xml:space="preserve">План-график</t>
  </si>
  <si>
    <t xml:space="preserve">.xml (MS Project)</t>
  </si>
  <si>
    <t xml:space="preserve">Kalendarnyy_plan_1C_MSProject.xml</t>
  </si>
  <si>
    <t xml:space="preserve">48 задач, 17 ролей, 82 назначения</t>
  </si>
  <si>
    <t xml:space="preserve">План управления качеством</t>
  </si>
  <si>
    <t xml:space="preserve">Plan_upravleniya_kachestvom_shablon.docx</t>
  </si>
  <si>
    <t xml:space="preserve">Метрики качества (в PMP р.7 — кратко)</t>
  </si>
  <si>
    <t xml:space="preserve">2. Обследование и анализ</t>
  </si>
  <si>
    <t xml:space="preserve">Отчёт о предпроектном обследовании</t>
  </si>
  <si>
    <t xml:space="preserve">Otchet_o_predproektnom_obsledovanii_shablon.docx</t>
  </si>
  <si>
    <t xml:space="preserve">Аналитик</t>
  </si>
  <si>
    <t xml:space="preserve">Итог фазы обследования</t>
  </si>
  <si>
    <t xml:space="preserve">Описание бизнес-процессов As-Is</t>
  </si>
  <si>
    <t xml:space="preserve">Opisanie_processov_As-Is_shablon.docx</t>
  </si>
  <si>
    <t xml:space="preserve">Модель текущих процессов</t>
  </si>
  <si>
    <t xml:space="preserve">Описание бизнес-процессов To-Be</t>
  </si>
  <si>
    <t xml:space="preserve">Opisanie_processov_To-Be_shablon.docx</t>
  </si>
  <si>
    <t xml:space="preserve">Модель целевых процессов</t>
  </si>
  <si>
    <t xml:space="preserve">Каталог бизнес-требований (BRD)</t>
  </si>
  <si>
    <t xml:space="preserve">Katalog_biznes-trebovaniy_BRD_shablon.docx</t>
  </si>
  <si>
    <t xml:space="preserve">Верхнеуровневые бизнес-требования</t>
  </si>
  <si>
    <t xml:space="preserve">Реестр требований</t>
  </si>
  <si>
    <t xml:space="preserve">Reestr_trebovaniy.xlsx</t>
  </si>
  <si>
    <t xml:space="preserve">Детальные требования; источник для RTM</t>
  </si>
  <si>
    <t xml:space="preserve">Матрица трассировки требований (RTM)</t>
  </si>
  <si>
    <t xml:space="preserve">RTM_matrica_trassirovki_shablon.xlsx</t>
  </si>
  <si>
    <t xml:space="preserve">Сквозная трассировка цель→тест</t>
  </si>
  <si>
    <t xml:space="preserve">Реестр разрывов (Gap-анализ)</t>
  </si>
  <si>
    <t xml:space="preserve">Reestr_razryvov_Gap_analiz.xlsx</t>
  </si>
  <si>
    <t xml:space="preserve">Архитектор</t>
  </si>
  <si>
    <t xml:space="preserve">Gap относительно типового 1С</t>
  </si>
  <si>
    <t xml:space="preserve">3. Проектирование</t>
  </si>
  <si>
    <t xml:space="preserve">Техническое задание (головное)</t>
  </si>
  <si>
    <t xml:space="preserve">ТЗ/ЧТЗ</t>
  </si>
  <si>
    <t xml:space="preserve">TZ_golovnoe_shablon.docx</t>
  </si>
  <si>
    <t xml:space="preserve">ГОСТ 34.602 + блоки 1С</t>
  </si>
  <si>
    <t xml:space="preserve">ЧТЗ на интеграцию</t>
  </si>
  <si>
    <t xml:space="preserve">CHTZ_integraciya_shablon.docx</t>
  </si>
  <si>
    <t xml:space="preserve">Шаблон для каждой интеграции</t>
  </si>
  <si>
    <t xml:space="preserve">ЧТЗ на доработку</t>
  </si>
  <si>
    <t xml:space="preserve">CHTZ_dorabotka_shablon.docx</t>
  </si>
  <si>
    <t xml:space="preserve">Шаблон для каждой доработки</t>
  </si>
  <si>
    <t xml:space="preserve">Функциональные спецификации (FRD)</t>
  </si>
  <si>
    <t xml:space="preserve">FRD_funkcionalnye_trebovaniya_shablon.docx</t>
  </si>
  <si>
    <t xml:space="preserve">Детализация функц. требований</t>
  </si>
  <si>
    <t xml:space="preserve">Концепция архитектуры решения</t>
  </si>
  <si>
    <t xml:space="preserve">Концепция</t>
  </si>
  <si>
    <t xml:space="preserve">Koncepciya_arhitektury_resheniya_shablon.docx</t>
  </si>
  <si>
    <t xml:space="preserve">Системная архитектура (отд. от концепций ниже)</t>
  </si>
  <si>
    <t xml:space="preserve">Концепция НСИ</t>
  </si>
  <si>
    <t xml:space="preserve">Koncepciya_NSI_shablon.docx</t>
  </si>
  <si>
    <t xml:space="preserve">Архитектор данных</t>
  </si>
  <si>
    <t xml:space="preserve">Мастер-данные холдинга</t>
  </si>
  <si>
    <t xml:space="preserve">Концепция миграции данных</t>
  </si>
  <si>
    <t xml:space="preserve">Koncepciya_migracii_shablon.docx</t>
  </si>
  <si>
    <t xml:space="preserve">Спец. по миграции</t>
  </si>
  <si>
    <t xml:space="preserve">Связь с НСИ</t>
  </si>
  <si>
    <t xml:space="preserve">Концепция интеграции</t>
  </si>
  <si>
    <t xml:space="preserve">Koncepciya_integracii_shablon.docx</t>
  </si>
  <si>
    <t xml:space="preserve">Ландшафт; общие требования к ЧТЗ</t>
  </si>
  <si>
    <t xml:space="preserve">Модель данных / описание НСИ</t>
  </si>
  <si>
    <t xml:space="preserve">Model_dannyh_opisanie_NSI_shablon.docx</t>
  </si>
  <si>
    <t xml:space="preserve">Дополняет Концепцию НСИ</t>
  </si>
  <si>
    <t xml:space="preserve">Ролевая модель и матрица прав доступа</t>
  </si>
  <si>
    <t xml:space="preserve">Rolevaya_model_matrica_prav_shablon.docx</t>
  </si>
  <si>
    <t xml:space="preserve">Разграничение по юрлицам/ролям</t>
  </si>
  <si>
    <t xml:space="preserve">Дизайн UI / печатных форм / отчётов</t>
  </si>
  <si>
    <t xml:space="preserve">Dizayn_UI_pechatnyh_form_otchetov_shablon.docx</t>
  </si>
  <si>
    <t xml:space="preserve">Макеты форм</t>
  </si>
  <si>
    <t xml:space="preserve">4. Разработка и настройка</t>
  </si>
  <si>
    <t xml:space="preserve">Реестр доработок (Backlog)</t>
  </si>
  <si>
    <t xml:space="preserve">Reestr_dorabotok.xlsx</t>
  </si>
  <si>
    <t xml:space="preserve">Архитектор/РП</t>
  </si>
  <si>
    <t xml:space="preserve">gap→ЧТЗ→разработка→тест</t>
  </si>
  <si>
    <t xml:space="preserve">Журнал версий конфигурации</t>
  </si>
  <si>
    <t xml:space="preserve">Zhurnal_versiy_konfiguracii.xlsx</t>
  </si>
  <si>
    <t xml:space="preserve">Разработчик</t>
  </si>
  <si>
    <t xml:space="preserve">Версионирование конфигурации</t>
  </si>
  <si>
    <t xml:space="preserve">Стандарты разработки и code style</t>
  </si>
  <si>
    <t xml:space="preserve">Standarty_razrabotki_code_style_shablon.docx</t>
  </si>
  <si>
    <t xml:space="preserve">Правила разработки 1С</t>
  </si>
  <si>
    <t xml:space="preserve">Протоколы код-ревью</t>
  </si>
  <si>
    <t xml:space="preserve">Protokol_kod-revyu_shablon.docx</t>
  </si>
  <si>
    <t xml:space="preserve">Контроль качества кода</t>
  </si>
  <si>
    <t xml:space="preserve">5. Тестирование</t>
  </si>
  <si>
    <t xml:space="preserve">План тестирования и ПМИ</t>
  </si>
  <si>
    <t xml:space="preserve">Plan_testirovaniya_PMI_shablon.docx</t>
  </si>
  <si>
    <t xml:space="preserve">QA</t>
  </si>
  <si>
    <t xml:space="preserve">Стратегия + методика испытаний</t>
  </si>
  <si>
    <t xml:space="preserve">Реестр тест-кейсов</t>
  </si>
  <si>
    <t xml:space="preserve">Reestr_test_keysov.xlsx</t>
  </si>
  <si>
    <t xml:space="preserve">Детальные шаги; трассировка в RTM</t>
  </si>
  <si>
    <t xml:space="preserve">Протоколы тестирования</t>
  </si>
  <si>
    <t xml:space="preserve">Protokol_testirovaniya_shablon.docx</t>
  </si>
  <si>
    <t xml:space="preserve">Результаты прогонов</t>
  </si>
  <si>
    <t xml:space="preserve">Журнал дефектов (Bug tracking)</t>
  </si>
  <si>
    <t xml:space="preserve">Zhurnal_defektov.xlsx</t>
  </si>
  <si>
    <t xml:space="preserve">Учёт дефектов</t>
  </si>
  <si>
    <t xml:space="preserve">Протоколы приёмочных испытаний</t>
  </si>
  <si>
    <t xml:space="preserve">Protokol_priyomochnyh_ispytaniy_shablon.docx</t>
  </si>
  <si>
    <t xml:space="preserve">Приёмка по ПМИ</t>
  </si>
  <si>
    <t xml:space="preserve">6. Внедрение и ОПЭ</t>
  </si>
  <si>
    <t xml:space="preserve">План развёртывания / перехода (Cutover)</t>
  </si>
  <si>
    <t xml:space="preserve">Plan_razvyortyvaniya_Cutover_shablon.docx</t>
  </si>
  <si>
    <t xml:space="preserve">РП/Архитектор</t>
  </si>
  <si>
    <t xml:space="preserve">Окно перехода, go/no-go, откат</t>
  </si>
  <si>
    <t xml:space="preserve">Детальный план миграции данных</t>
  </si>
  <si>
    <t xml:space="preserve">Detalnyy_plan_migracii_shablon.docx</t>
  </si>
  <si>
    <t xml:space="preserve">Регламент и контроль (из Концепции миграции)</t>
  </si>
  <si>
    <t xml:space="preserve">План обучения и учебные материалы</t>
  </si>
  <si>
    <t xml:space="preserve">Plan_obucheniya_shablon.docx</t>
  </si>
  <si>
    <t xml:space="preserve">Тренер</t>
  </si>
  <si>
    <t xml:space="preserve">Курсы, инструкции</t>
  </si>
  <si>
    <t xml:space="preserve">Регламент опытной эксплуатации (ОПЭ)</t>
  </si>
  <si>
    <t xml:space="preserve">Reglament_OPE_shablon.docx</t>
  </si>
  <si>
    <t xml:space="preserve">Порядок ОПЭ</t>
  </si>
  <si>
    <t xml:space="preserve">Журнал замечаний периода ОПЭ</t>
  </si>
  <si>
    <t xml:space="preserve">Zhurnal_zamechaniy_OPE.xlsx</t>
  </si>
  <si>
    <t xml:space="preserve">Замечания в ОПЭ</t>
  </si>
  <si>
    <t xml:space="preserve">План поддержки (Hypercare)</t>
  </si>
  <si>
    <t xml:space="preserve">Plan_podderzhki_Hypercare_shablon.docx</t>
  </si>
  <si>
    <t xml:space="preserve">Стабилизация после ПЭ</t>
  </si>
  <si>
    <t xml:space="preserve">7. Эксплуатационная документация</t>
  </si>
  <si>
    <t xml:space="preserve">Руководство пользователя</t>
  </si>
  <si>
    <t xml:space="preserve">Rukovodstvo_polzovatelya_shablon.docx</t>
  </si>
  <si>
    <t xml:space="preserve">Техписатель</t>
  </si>
  <si>
    <t xml:space="preserve">По ролям/подсистемам</t>
  </si>
  <si>
    <t xml:space="preserve">Руководство администратора</t>
  </si>
  <si>
    <t xml:space="preserve">Rukovodstvo_administratora_shablon.docx</t>
  </si>
  <si>
    <t xml:space="preserve">Администрирование</t>
  </si>
  <si>
    <t xml:space="preserve">Регламенты эксплуатации и сопровождения (SLA)</t>
  </si>
  <si>
    <t xml:space="preserve">Reglamenty_ekspluatacii_SLA_shablon.docx</t>
  </si>
  <si>
    <t xml:space="preserve">Администратор</t>
  </si>
  <si>
    <t xml:space="preserve">SLA сопровождения</t>
  </si>
  <si>
    <t xml:space="preserve">Инструкции по типовым операциям</t>
  </si>
  <si>
    <t xml:space="preserve">Instrukcii_po_tipovym_operaciyam_shablon.docx</t>
  </si>
  <si>
    <t xml:space="preserve">Пошаговые инструкции</t>
  </si>
  <si>
    <t xml:space="preserve">8. Закрытие</t>
  </si>
  <si>
    <t xml:space="preserve">Акты сдачи-приёмки</t>
  </si>
  <si>
    <t xml:space="preserve">Akt_sdachi-priyomki_shablon.docx</t>
  </si>
  <si>
    <t xml:space="preserve">РП/Спонсор</t>
  </si>
  <si>
    <t xml:space="preserve">По этапам и итоговый</t>
  </si>
  <si>
    <t xml:space="preserve">Протокол завершения проекта</t>
  </si>
  <si>
    <t xml:space="preserve">Protokol_zaversheniya_proekta_shablon.docx</t>
  </si>
  <si>
    <t xml:space="preserve">Формальное закрытие</t>
  </si>
  <si>
    <t xml:space="preserve">Отчёт об извлечённых уроках</t>
  </si>
  <si>
    <t xml:space="preserve">Otchet_ob_izvlechyonnyh_urokah_shablon.docx</t>
  </si>
  <si>
    <t xml:space="preserve">Lessons Learned</t>
  </si>
  <si>
    <t xml:space="preserve">Реестр переданных активов</t>
  </si>
  <si>
    <t xml:space="preserve">Reestr_peredannyh_aktivov.xlsx</t>
  </si>
  <si>
    <t xml:space="preserve">Итоговый состав поставки</t>
  </si>
  <si>
    <t xml:space="preserve">Сводка по составу документации</t>
  </si>
  <si>
    <t xml:space="preserve">Считается автоматически по листу «Реестр документов».</t>
  </si>
  <si>
    <t xml:space="preserve">Готовность шаблонов</t>
  </si>
  <si>
    <t xml:space="preserve">Статус</t>
  </si>
  <si>
    <t xml:space="preserve">Кол-во</t>
  </si>
  <si>
    <t xml:space="preserve">В работе</t>
  </si>
  <si>
    <t xml:space="preserve">Не создан</t>
  </si>
  <si>
    <t xml:space="preserve">Не требуется</t>
  </si>
  <si>
    <t xml:space="preserve">Всего документов</t>
  </si>
  <si>
    <t xml:space="preserve">% готовности</t>
  </si>
  <si>
    <t xml:space="preserve">Примечание: 21 шаблон создан (включая системный промт). Остальные — типовой состав для фаз реализации/закрытия, заводятся по мере проекта.</t>
  </si>
  <si>
    <t xml:space="preserve">Фаза/Группа</t>
  </si>
  <si>
    <t xml:space="preserve">Несколько</t>
  </si>
  <si>
    <t xml:space="preserve">Журнал изменений документа</t>
  </si>
  <si>
    <t xml:space="preserve">Версия</t>
  </si>
  <si>
    <t xml:space="preserve">Дата</t>
  </si>
  <si>
    <t xml:space="preserve">Описание изменений</t>
  </si>
  <si>
    <t xml:space="preserve">Автор</t>
  </si>
  <si>
    <t xml:space="preserve">1.0</t>
  </si>
  <si>
    <t xml:space="preserve">ДД.ММ.ГГГГ</t>
  </si>
  <si>
    <t xml:space="preserve">Создание реестра; сверка состава документации, унификация наименований</t>
  </si>
  <si>
    <t xml:space="preserve">ФИО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</si>
</sst>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2E75B6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i val="true"/>
      <sz val="10"/>
      <color rgb="FF2E75B6"/>
      <name val="Arial"/>
      <family val="0"/>
      <charset val="1"/>
    </font>
    <font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CC99"/>
      </patternFill>
    </fill>
    <fill>
      <patternFill patternType="solid">
        <fgColor rgb="FFFCE4D6"/>
        <bgColor rgb="FFFFE699"/>
      </patternFill>
    </fill>
    <fill>
      <patternFill patternType="solid">
        <fgColor rgb="FFD9D9D9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ont>
        <b val="1"/>
        <color rgb="FF375623"/>
      </font>
      <fill>
        <patternFill>
          <bgColor rgb="FFC6E0B4"/>
        </patternFill>
      </fill>
    </dxf>
    <dxf>
      <font>
        <color rgb="FF843C0C"/>
      </font>
      <fill>
        <patternFill>
          <bgColor rgb="FFFCE4D6"/>
        </patternFill>
      </fill>
    </dxf>
    <dxf>
      <font>
        <color rgb="FF7F6000"/>
      </font>
      <fill>
        <patternFill>
          <bgColor rgb="FFFFE699"/>
        </patternFill>
      </fill>
    </dxf>
    <dxf>
      <font>
        <color rgb="FF808080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43C0C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95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5" t="s">
        <v>3</v>
      </c>
    </row>
    <row r="6" customFormat="false" ht="15" hidden="false" customHeight="true" outlineLevel="0" collapsed="false">
      <c r="B6" s="4" t="s">
        <v>4</v>
      </c>
      <c r="C6" s="5" t="s">
        <v>5</v>
      </c>
    </row>
    <row r="7" customFormat="false" ht="15" hidden="false" customHeight="true" outlineLevel="0" collapsed="false">
      <c r="B7" s="4" t="s">
        <v>6</v>
      </c>
      <c r="C7" s="5" t="s">
        <v>7</v>
      </c>
    </row>
    <row r="8" customFormat="false" ht="15" hidden="false" customHeight="true" outlineLevel="0" collapsed="false">
      <c r="B8" s="4" t="s">
        <v>8</v>
      </c>
      <c r="C8" s="5" t="s">
        <v>9</v>
      </c>
    </row>
    <row r="9" customFormat="false" ht="15" hidden="false" customHeight="true" outlineLevel="0" collapsed="false">
      <c r="B9" s="4" t="s">
        <v>10</v>
      </c>
      <c r="C9" s="5" t="s">
        <v>11</v>
      </c>
    </row>
    <row r="11" customFormat="false" ht="15" hidden="false" customHeight="true" outlineLevel="0" collapsed="false">
      <c r="B11" s="6" t="s">
        <v>12</v>
      </c>
    </row>
    <row r="12" customFormat="false" ht="63.75" hidden="false" customHeight="true" outlineLevel="0" collapsed="false">
      <c r="C12" s="7" t="s">
        <v>13</v>
      </c>
    </row>
    <row r="14" customFormat="false" ht="15" hidden="false" customHeight="true" outlineLevel="0" collapsed="false">
      <c r="B14" s="6" t="s">
        <v>14</v>
      </c>
    </row>
    <row r="15" customFormat="false" ht="27.75" hidden="false" customHeight="true" outlineLevel="0" collapsed="false">
      <c r="C15" s="8" t="s">
        <v>15</v>
      </c>
    </row>
    <row r="16" customFormat="false" ht="27.75" hidden="false" customHeight="true" outlineLevel="0" collapsed="false">
      <c r="C16" s="8" t="s">
        <v>16</v>
      </c>
    </row>
    <row r="17" customFormat="false" ht="27.75" hidden="false" customHeight="true" outlineLevel="0" collapsed="false">
      <c r="C17" s="8" t="s">
        <v>17</v>
      </c>
    </row>
    <row r="18" customFormat="false" ht="27.75" hidden="false" customHeight="true" outlineLevel="0" collapsed="false">
      <c r="C18" s="8" t="s">
        <v>18</v>
      </c>
    </row>
    <row r="19" customFormat="false" ht="27.75" hidden="false" customHeight="true" outlineLevel="0" collapsed="false">
      <c r="C19" s="8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5"/>
    <col collapsed="false" customWidth="true" hidden="false" outlineLevel="0" max="6" min="6" style="1" width="40"/>
    <col collapsed="false" customWidth="true" hidden="false" outlineLevel="0" max="7" min="7" style="1" width="20"/>
    <col collapsed="false" customWidth="true" hidden="false" outlineLevel="0" max="8" min="8" style="1" width="36"/>
  </cols>
  <sheetData>
    <row r="1" customFormat="false" ht="17.25" hidden="false" customHeight="true" outlineLevel="0" collapsed="false">
      <c r="A1" s="9" t="s">
        <v>20</v>
      </c>
    </row>
    <row r="2" customFormat="false" ht="36" hidden="false" customHeight="true" outlineLevel="0" collapsed="false">
      <c r="A2" s="10" t="s">
        <v>21</v>
      </c>
      <c r="B2" s="10" t="s">
        <v>22</v>
      </c>
      <c r="C2" s="10" t="s">
        <v>23</v>
      </c>
      <c r="D2" s="10" t="s">
        <v>24</v>
      </c>
      <c r="E2" s="10" t="s">
        <v>25</v>
      </c>
      <c r="F2" s="10" t="s">
        <v>26</v>
      </c>
      <c r="G2" s="10" t="s">
        <v>27</v>
      </c>
      <c r="H2" s="10" t="s">
        <v>28</v>
      </c>
    </row>
    <row r="3" customFormat="false" ht="15" hidden="false" customHeight="true" outlineLevel="0" collapsed="false">
      <c r="A3" s="11"/>
      <c r="B3" s="12" t="s">
        <v>29</v>
      </c>
      <c r="C3" s="11"/>
      <c r="D3" s="11"/>
      <c r="E3" s="11"/>
      <c r="F3" s="11"/>
      <c r="G3" s="11"/>
      <c r="H3" s="11"/>
    </row>
    <row r="4" customFormat="false" ht="23.25" hidden="false" customHeight="true" outlineLevel="0" collapsed="false">
      <c r="A4" s="13" t="n">
        <v>1</v>
      </c>
      <c r="B4" s="14" t="s">
        <v>30</v>
      </c>
      <c r="C4" s="13" t="s">
        <v>31</v>
      </c>
      <c r="D4" s="13" t="s">
        <v>32</v>
      </c>
      <c r="E4" s="13" t="s">
        <v>33</v>
      </c>
      <c r="F4" s="13" t="s">
        <v>34</v>
      </c>
      <c r="G4" s="13" t="s">
        <v>35</v>
      </c>
      <c r="H4" s="13" t="s">
        <v>36</v>
      </c>
    </row>
    <row r="5" customFormat="false" ht="15" hidden="false" customHeight="true" outlineLevel="0" collapsed="false">
      <c r="A5" s="13" t="n">
        <v>2</v>
      </c>
      <c r="B5" s="14" t="s">
        <v>37</v>
      </c>
      <c r="C5" s="13" t="s">
        <v>38</v>
      </c>
      <c r="D5" s="13" t="s">
        <v>39</v>
      </c>
      <c r="E5" s="13" t="s">
        <v>33</v>
      </c>
      <c r="F5" s="13" t="s">
        <v>40</v>
      </c>
      <c r="G5" s="13" t="s">
        <v>41</v>
      </c>
      <c r="H5" s="13" t="s">
        <v>42</v>
      </c>
    </row>
    <row r="6" customFormat="false" ht="15" hidden="false" customHeight="true" outlineLevel="0" collapsed="false">
      <c r="A6" s="13" t="n">
        <v>3</v>
      </c>
      <c r="B6" s="14" t="s">
        <v>43</v>
      </c>
      <c r="C6" s="13" t="s">
        <v>38</v>
      </c>
      <c r="D6" s="13" t="s">
        <v>39</v>
      </c>
      <c r="E6" s="13" t="s">
        <v>33</v>
      </c>
      <c r="F6" s="13" t="s">
        <v>44</v>
      </c>
      <c r="G6" s="13" t="s">
        <v>41</v>
      </c>
      <c r="H6" s="13" t="s">
        <v>45</v>
      </c>
    </row>
    <row r="7" customFormat="false" ht="15" hidden="false" customHeight="true" outlineLevel="0" collapsed="false">
      <c r="A7" s="13" t="n">
        <v>4</v>
      </c>
      <c r="B7" s="14" t="s">
        <v>46</v>
      </c>
      <c r="C7" s="13" t="s">
        <v>38</v>
      </c>
      <c r="D7" s="13" t="s">
        <v>39</v>
      </c>
      <c r="E7" s="13" t="s">
        <v>33</v>
      </c>
      <c r="F7" s="13" t="s">
        <v>47</v>
      </c>
      <c r="G7" s="13" t="s">
        <v>41</v>
      </c>
      <c r="H7" s="13" t="s">
        <v>48</v>
      </c>
    </row>
    <row r="8" customFormat="false" ht="23.25" hidden="false" customHeight="true" outlineLevel="0" collapsed="false">
      <c r="A8" s="13" t="n">
        <v>5</v>
      </c>
      <c r="B8" s="14" t="s">
        <v>49</v>
      </c>
      <c r="C8" s="13" t="s">
        <v>50</v>
      </c>
      <c r="D8" s="13" t="s">
        <v>51</v>
      </c>
      <c r="E8" s="13" t="s">
        <v>33</v>
      </c>
      <c r="F8" s="13" t="s">
        <v>52</v>
      </c>
      <c r="G8" s="13" t="s">
        <v>41</v>
      </c>
      <c r="H8" s="13" t="s">
        <v>53</v>
      </c>
    </row>
    <row r="9" customFormat="false" ht="23.25" hidden="false" customHeight="true" outlineLevel="0" collapsed="false">
      <c r="A9" s="13" t="n">
        <v>6</v>
      </c>
      <c r="B9" s="14" t="s">
        <v>54</v>
      </c>
      <c r="C9" s="13" t="s">
        <v>38</v>
      </c>
      <c r="D9" s="13" t="s">
        <v>39</v>
      </c>
      <c r="E9" s="13" t="s">
        <v>33</v>
      </c>
      <c r="F9" s="13" t="s">
        <v>55</v>
      </c>
      <c r="G9" s="13" t="s">
        <v>41</v>
      </c>
      <c r="H9" s="13" t="s">
        <v>56</v>
      </c>
    </row>
    <row r="10" customFormat="false" ht="23.25" hidden="false" customHeight="true" outlineLevel="0" collapsed="false">
      <c r="A10" s="13" t="n">
        <v>7</v>
      </c>
      <c r="B10" s="14" t="s">
        <v>57</v>
      </c>
      <c r="C10" s="13" t="s">
        <v>58</v>
      </c>
      <c r="D10" s="13" t="s">
        <v>51</v>
      </c>
      <c r="E10" s="13" t="s">
        <v>33</v>
      </c>
      <c r="F10" s="13" t="s">
        <v>59</v>
      </c>
      <c r="G10" s="13" t="s">
        <v>41</v>
      </c>
      <c r="H10" s="13" t="s">
        <v>60</v>
      </c>
    </row>
    <row r="11" customFormat="false" ht="15" hidden="false" customHeight="true" outlineLevel="0" collapsed="false">
      <c r="A11" s="13" t="n">
        <v>8</v>
      </c>
      <c r="B11" s="14" t="s">
        <v>61</v>
      </c>
      <c r="C11" s="13" t="s">
        <v>50</v>
      </c>
      <c r="D11" s="13" t="s">
        <v>51</v>
      </c>
      <c r="E11" s="13" t="s">
        <v>33</v>
      </c>
      <c r="F11" s="13" t="s">
        <v>62</v>
      </c>
      <c r="G11" s="13" t="s">
        <v>41</v>
      </c>
      <c r="H11" s="13" t="s">
        <v>63</v>
      </c>
    </row>
    <row r="12" customFormat="false" ht="15" hidden="false" customHeight="true" outlineLevel="0" collapsed="false">
      <c r="A12" s="13" t="n">
        <v>9</v>
      </c>
      <c r="B12" s="14" t="s">
        <v>64</v>
      </c>
      <c r="C12" s="13" t="s">
        <v>50</v>
      </c>
      <c r="D12" s="13" t="s">
        <v>51</v>
      </c>
      <c r="E12" s="13" t="s">
        <v>33</v>
      </c>
      <c r="F12" s="13" t="s">
        <v>65</v>
      </c>
      <c r="G12" s="13" t="s">
        <v>41</v>
      </c>
      <c r="H12" s="13" t="s">
        <v>66</v>
      </c>
    </row>
    <row r="13" customFormat="false" ht="15" hidden="false" customHeight="true" outlineLevel="0" collapsed="false">
      <c r="A13" s="13" t="n">
        <v>10</v>
      </c>
      <c r="B13" s="14" t="s">
        <v>67</v>
      </c>
      <c r="C13" s="13" t="s">
        <v>58</v>
      </c>
      <c r="D13" s="13" t="s">
        <v>51</v>
      </c>
      <c r="E13" s="13" t="s">
        <v>33</v>
      </c>
      <c r="F13" s="13" t="s">
        <v>68</v>
      </c>
      <c r="G13" s="13" t="s">
        <v>41</v>
      </c>
      <c r="H13" s="13" t="s">
        <v>69</v>
      </c>
    </row>
    <row r="14" customFormat="false" ht="15" hidden="false" customHeight="true" outlineLevel="0" collapsed="false">
      <c r="A14" s="13" t="n">
        <v>11</v>
      </c>
      <c r="B14" s="14" t="s">
        <v>70</v>
      </c>
      <c r="C14" s="13" t="s">
        <v>38</v>
      </c>
      <c r="D14" s="13" t="s">
        <v>39</v>
      </c>
      <c r="E14" s="13" t="s">
        <v>33</v>
      </c>
      <c r="F14" s="13" t="s">
        <v>71</v>
      </c>
      <c r="G14" s="13" t="s">
        <v>41</v>
      </c>
      <c r="H14" s="13" t="s">
        <v>72</v>
      </c>
    </row>
    <row r="15" customFormat="false" ht="15" hidden="false" customHeight="true" outlineLevel="0" collapsed="false">
      <c r="A15" s="13" t="n">
        <v>12</v>
      </c>
      <c r="B15" s="14" t="s">
        <v>73</v>
      </c>
      <c r="C15" s="13" t="s">
        <v>50</v>
      </c>
      <c r="D15" s="13" t="s">
        <v>51</v>
      </c>
      <c r="E15" s="13" t="s">
        <v>33</v>
      </c>
      <c r="F15" s="13" t="s">
        <v>74</v>
      </c>
      <c r="G15" s="13" t="s">
        <v>41</v>
      </c>
      <c r="H15" s="13" t="s">
        <v>75</v>
      </c>
    </row>
    <row r="16" customFormat="false" ht="23.25" hidden="false" customHeight="true" outlineLevel="0" collapsed="false">
      <c r="A16" s="13" t="n">
        <v>13</v>
      </c>
      <c r="B16" s="14" t="s">
        <v>76</v>
      </c>
      <c r="C16" s="13" t="s">
        <v>77</v>
      </c>
      <c r="D16" s="13" t="s">
        <v>78</v>
      </c>
      <c r="E16" s="13" t="s">
        <v>33</v>
      </c>
      <c r="F16" s="13" t="s">
        <v>79</v>
      </c>
      <c r="G16" s="13" t="s">
        <v>41</v>
      </c>
      <c r="H16" s="13" t="s">
        <v>80</v>
      </c>
    </row>
    <row r="17" customFormat="false" ht="15" hidden="false" customHeight="true" outlineLevel="0" collapsed="false">
      <c r="A17" s="13" t="n">
        <v>14</v>
      </c>
      <c r="B17" s="14" t="s">
        <v>81</v>
      </c>
      <c r="C17" s="13" t="s">
        <v>38</v>
      </c>
      <c r="D17" s="13" t="s">
        <v>39</v>
      </c>
      <c r="E17" s="13" t="s">
        <v>33</v>
      </c>
      <c r="F17" s="13" t="s">
        <v>82</v>
      </c>
      <c r="G17" s="13" t="s">
        <v>41</v>
      </c>
      <c r="H17" s="13" t="s">
        <v>83</v>
      </c>
    </row>
    <row r="18" customFormat="false" ht="15" hidden="false" customHeight="true" outlineLevel="0" collapsed="false">
      <c r="A18" s="11"/>
      <c r="B18" s="12" t="s">
        <v>84</v>
      </c>
      <c r="C18" s="11"/>
      <c r="D18" s="11"/>
      <c r="E18" s="11"/>
      <c r="F18" s="11"/>
      <c r="G18" s="11"/>
      <c r="H18" s="11"/>
    </row>
    <row r="19" customFormat="false" ht="15" hidden="false" customHeight="true" outlineLevel="0" collapsed="false">
      <c r="A19" s="13" t="n">
        <v>15</v>
      </c>
      <c r="B19" s="14" t="s">
        <v>85</v>
      </c>
      <c r="C19" s="13" t="s">
        <v>38</v>
      </c>
      <c r="D19" s="13" t="s">
        <v>39</v>
      </c>
      <c r="E19" s="13" t="s">
        <v>33</v>
      </c>
      <c r="F19" s="13" t="s">
        <v>86</v>
      </c>
      <c r="G19" s="13" t="s">
        <v>87</v>
      </c>
      <c r="H19" s="13" t="s">
        <v>88</v>
      </c>
    </row>
    <row r="20" customFormat="false" ht="15" hidden="false" customHeight="true" outlineLevel="0" collapsed="false">
      <c r="A20" s="13" t="n">
        <v>16</v>
      </c>
      <c r="B20" s="14" t="s">
        <v>89</v>
      </c>
      <c r="C20" s="13" t="s">
        <v>38</v>
      </c>
      <c r="D20" s="13" t="s">
        <v>39</v>
      </c>
      <c r="E20" s="13" t="s">
        <v>33</v>
      </c>
      <c r="F20" s="13" t="s">
        <v>90</v>
      </c>
      <c r="G20" s="13" t="s">
        <v>87</v>
      </c>
      <c r="H20" s="13" t="s">
        <v>91</v>
      </c>
    </row>
    <row r="21" customFormat="false" ht="15" hidden="false" customHeight="true" outlineLevel="0" collapsed="false">
      <c r="A21" s="13" t="n">
        <v>17</v>
      </c>
      <c r="B21" s="14" t="s">
        <v>92</v>
      </c>
      <c r="C21" s="13" t="s">
        <v>38</v>
      </c>
      <c r="D21" s="13" t="s">
        <v>39</v>
      </c>
      <c r="E21" s="13" t="s">
        <v>33</v>
      </c>
      <c r="F21" s="13" t="s">
        <v>93</v>
      </c>
      <c r="G21" s="13" t="s">
        <v>87</v>
      </c>
      <c r="H21" s="13" t="s">
        <v>94</v>
      </c>
    </row>
    <row r="22" customFormat="false" ht="15" hidden="false" customHeight="true" outlineLevel="0" collapsed="false">
      <c r="A22" s="13" t="n">
        <v>18</v>
      </c>
      <c r="B22" s="14" t="s">
        <v>95</v>
      </c>
      <c r="C22" s="13" t="s">
        <v>38</v>
      </c>
      <c r="D22" s="13" t="s">
        <v>39</v>
      </c>
      <c r="E22" s="13" t="s">
        <v>33</v>
      </c>
      <c r="F22" s="13" t="s">
        <v>96</v>
      </c>
      <c r="G22" s="13" t="s">
        <v>87</v>
      </c>
      <c r="H22" s="13" t="s">
        <v>97</v>
      </c>
    </row>
    <row r="23" customFormat="false" ht="23.25" hidden="false" customHeight="true" outlineLevel="0" collapsed="false">
      <c r="A23" s="13" t="n">
        <v>19</v>
      </c>
      <c r="B23" s="14" t="s">
        <v>98</v>
      </c>
      <c r="C23" s="13" t="s">
        <v>50</v>
      </c>
      <c r="D23" s="13" t="s">
        <v>51</v>
      </c>
      <c r="E23" s="13" t="s">
        <v>33</v>
      </c>
      <c r="F23" s="13" t="s">
        <v>99</v>
      </c>
      <c r="G23" s="13" t="s">
        <v>87</v>
      </c>
      <c r="H23" s="13" t="s">
        <v>100</v>
      </c>
    </row>
    <row r="24" customFormat="false" ht="15" hidden="false" customHeight="true" outlineLevel="0" collapsed="false">
      <c r="A24" s="13" t="n">
        <v>20</v>
      </c>
      <c r="B24" s="14" t="s">
        <v>101</v>
      </c>
      <c r="C24" s="13" t="s">
        <v>58</v>
      </c>
      <c r="D24" s="13" t="s">
        <v>51</v>
      </c>
      <c r="E24" s="13" t="s">
        <v>33</v>
      </c>
      <c r="F24" s="13" t="s">
        <v>102</v>
      </c>
      <c r="G24" s="13" t="s">
        <v>87</v>
      </c>
      <c r="H24" s="13" t="s">
        <v>103</v>
      </c>
    </row>
    <row r="25" customFormat="false" ht="15" hidden="false" customHeight="true" outlineLevel="0" collapsed="false">
      <c r="A25" s="13" t="n">
        <v>21</v>
      </c>
      <c r="B25" s="14" t="s">
        <v>104</v>
      </c>
      <c r="C25" s="13" t="s">
        <v>50</v>
      </c>
      <c r="D25" s="13" t="s">
        <v>51</v>
      </c>
      <c r="E25" s="13" t="s">
        <v>33</v>
      </c>
      <c r="F25" s="13" t="s">
        <v>105</v>
      </c>
      <c r="G25" s="13" t="s">
        <v>106</v>
      </c>
      <c r="H25" s="13" t="s">
        <v>107</v>
      </c>
    </row>
    <row r="26" customFormat="false" ht="15" hidden="false" customHeight="true" outlineLevel="0" collapsed="false">
      <c r="A26" s="11"/>
      <c r="B26" s="12" t="s">
        <v>108</v>
      </c>
      <c r="C26" s="11"/>
      <c r="D26" s="11"/>
      <c r="E26" s="11"/>
      <c r="F26" s="11"/>
      <c r="G26" s="11"/>
      <c r="H26" s="11"/>
    </row>
    <row r="27" customFormat="false" ht="15" hidden="false" customHeight="true" outlineLevel="0" collapsed="false">
      <c r="A27" s="13" t="n">
        <v>22</v>
      </c>
      <c r="B27" s="14" t="s">
        <v>109</v>
      </c>
      <c r="C27" s="13" t="s">
        <v>110</v>
      </c>
      <c r="D27" s="13" t="s">
        <v>39</v>
      </c>
      <c r="E27" s="13" t="s">
        <v>33</v>
      </c>
      <c r="F27" s="13" t="s">
        <v>111</v>
      </c>
      <c r="G27" s="13" t="s">
        <v>106</v>
      </c>
      <c r="H27" s="13" t="s">
        <v>112</v>
      </c>
    </row>
    <row r="28" customFormat="false" ht="15" hidden="false" customHeight="true" outlineLevel="0" collapsed="false">
      <c r="A28" s="13" t="n">
        <v>23</v>
      </c>
      <c r="B28" s="14" t="s">
        <v>113</v>
      </c>
      <c r="C28" s="13" t="s">
        <v>110</v>
      </c>
      <c r="D28" s="13" t="s">
        <v>39</v>
      </c>
      <c r="E28" s="13" t="s">
        <v>33</v>
      </c>
      <c r="F28" s="13" t="s">
        <v>114</v>
      </c>
      <c r="G28" s="13" t="s">
        <v>106</v>
      </c>
      <c r="H28" s="13" t="s">
        <v>115</v>
      </c>
    </row>
    <row r="29" customFormat="false" ht="15" hidden="false" customHeight="true" outlineLevel="0" collapsed="false">
      <c r="A29" s="13" t="n">
        <v>24</v>
      </c>
      <c r="B29" s="14" t="s">
        <v>116</v>
      </c>
      <c r="C29" s="13" t="s">
        <v>110</v>
      </c>
      <c r="D29" s="13" t="s">
        <v>39</v>
      </c>
      <c r="E29" s="13" t="s">
        <v>33</v>
      </c>
      <c r="F29" s="13" t="s">
        <v>117</v>
      </c>
      <c r="G29" s="13" t="s">
        <v>106</v>
      </c>
      <c r="H29" s="13" t="s">
        <v>118</v>
      </c>
    </row>
    <row r="30" customFormat="false" ht="15" hidden="false" customHeight="true" outlineLevel="0" collapsed="false">
      <c r="A30" s="13" t="n">
        <v>25</v>
      </c>
      <c r="B30" s="14" t="s">
        <v>119</v>
      </c>
      <c r="C30" s="13" t="s">
        <v>38</v>
      </c>
      <c r="D30" s="13" t="s">
        <v>39</v>
      </c>
      <c r="E30" s="13" t="s">
        <v>33</v>
      </c>
      <c r="F30" s="13" t="s">
        <v>120</v>
      </c>
      <c r="G30" s="13" t="s">
        <v>87</v>
      </c>
      <c r="H30" s="13" t="s">
        <v>121</v>
      </c>
    </row>
    <row r="31" customFormat="false" ht="23.25" hidden="false" customHeight="true" outlineLevel="0" collapsed="false">
      <c r="A31" s="13" t="n">
        <v>26</v>
      </c>
      <c r="B31" s="14" t="s">
        <v>122</v>
      </c>
      <c r="C31" s="13" t="s">
        <v>123</v>
      </c>
      <c r="D31" s="13" t="s">
        <v>39</v>
      </c>
      <c r="E31" s="13" t="s">
        <v>33</v>
      </c>
      <c r="F31" s="13" t="s">
        <v>124</v>
      </c>
      <c r="G31" s="13" t="s">
        <v>106</v>
      </c>
      <c r="H31" s="13" t="s">
        <v>125</v>
      </c>
    </row>
    <row r="32" customFormat="false" ht="15" hidden="false" customHeight="true" outlineLevel="0" collapsed="false">
      <c r="A32" s="13" t="n">
        <v>27</v>
      </c>
      <c r="B32" s="14" t="s">
        <v>126</v>
      </c>
      <c r="C32" s="13" t="s">
        <v>123</v>
      </c>
      <c r="D32" s="13" t="s">
        <v>39</v>
      </c>
      <c r="E32" s="13" t="s">
        <v>33</v>
      </c>
      <c r="F32" s="13" t="s">
        <v>127</v>
      </c>
      <c r="G32" s="13" t="s">
        <v>128</v>
      </c>
      <c r="H32" s="13" t="s">
        <v>129</v>
      </c>
    </row>
    <row r="33" customFormat="false" ht="15" hidden="false" customHeight="true" outlineLevel="0" collapsed="false">
      <c r="A33" s="13" t="n">
        <v>28</v>
      </c>
      <c r="B33" s="14" t="s">
        <v>130</v>
      </c>
      <c r="C33" s="13" t="s">
        <v>123</v>
      </c>
      <c r="D33" s="13" t="s">
        <v>39</v>
      </c>
      <c r="E33" s="13" t="s">
        <v>33</v>
      </c>
      <c r="F33" s="13" t="s">
        <v>131</v>
      </c>
      <c r="G33" s="13" t="s">
        <v>132</v>
      </c>
      <c r="H33" s="13" t="s">
        <v>133</v>
      </c>
    </row>
    <row r="34" customFormat="false" ht="15" hidden="false" customHeight="true" outlineLevel="0" collapsed="false">
      <c r="A34" s="13" t="n">
        <v>29</v>
      </c>
      <c r="B34" s="14" t="s">
        <v>134</v>
      </c>
      <c r="C34" s="13" t="s">
        <v>123</v>
      </c>
      <c r="D34" s="13" t="s">
        <v>39</v>
      </c>
      <c r="E34" s="13" t="s">
        <v>33</v>
      </c>
      <c r="F34" s="13" t="s">
        <v>135</v>
      </c>
      <c r="G34" s="13" t="s">
        <v>106</v>
      </c>
      <c r="H34" s="13" t="s">
        <v>136</v>
      </c>
    </row>
    <row r="35" customFormat="false" ht="15" hidden="false" customHeight="true" outlineLevel="0" collapsed="false">
      <c r="A35" s="13" t="n">
        <v>30</v>
      </c>
      <c r="B35" s="14" t="s">
        <v>137</v>
      </c>
      <c r="C35" s="13" t="s">
        <v>38</v>
      </c>
      <c r="D35" s="13" t="s">
        <v>39</v>
      </c>
      <c r="E35" s="13" t="s">
        <v>33</v>
      </c>
      <c r="F35" s="13" t="s">
        <v>138</v>
      </c>
      <c r="G35" s="13" t="s">
        <v>128</v>
      </c>
      <c r="H35" s="13" t="s">
        <v>139</v>
      </c>
    </row>
    <row r="36" customFormat="false" ht="15" hidden="false" customHeight="true" outlineLevel="0" collapsed="false">
      <c r="A36" s="13" t="n">
        <v>31</v>
      </c>
      <c r="B36" s="14" t="s">
        <v>140</v>
      </c>
      <c r="C36" s="13" t="s">
        <v>38</v>
      </c>
      <c r="D36" s="13" t="s">
        <v>39</v>
      </c>
      <c r="E36" s="13" t="s">
        <v>33</v>
      </c>
      <c r="F36" s="13" t="s">
        <v>141</v>
      </c>
      <c r="G36" s="13" t="s">
        <v>106</v>
      </c>
      <c r="H36" s="13" t="s">
        <v>142</v>
      </c>
    </row>
    <row r="37" customFormat="false" ht="15" hidden="false" customHeight="true" outlineLevel="0" collapsed="false">
      <c r="A37" s="13" t="n">
        <v>32</v>
      </c>
      <c r="B37" s="14" t="s">
        <v>143</v>
      </c>
      <c r="C37" s="13" t="s">
        <v>38</v>
      </c>
      <c r="D37" s="13" t="s">
        <v>39</v>
      </c>
      <c r="E37" s="13" t="s">
        <v>33</v>
      </c>
      <c r="F37" s="13" t="s">
        <v>144</v>
      </c>
      <c r="G37" s="13" t="s">
        <v>87</v>
      </c>
      <c r="H37" s="13" t="s">
        <v>145</v>
      </c>
    </row>
    <row r="38" customFormat="false" ht="15" hidden="false" customHeight="true" outlineLevel="0" collapsed="false">
      <c r="A38" s="11"/>
      <c r="B38" s="12" t="s">
        <v>146</v>
      </c>
      <c r="C38" s="11"/>
      <c r="D38" s="11"/>
      <c r="E38" s="11"/>
      <c r="F38" s="11"/>
      <c r="G38" s="11"/>
      <c r="H38" s="11"/>
    </row>
    <row r="39" customFormat="false" ht="15" hidden="false" customHeight="true" outlineLevel="0" collapsed="false">
      <c r="A39" s="13" t="n">
        <v>33</v>
      </c>
      <c r="B39" s="14" t="s">
        <v>147</v>
      </c>
      <c r="C39" s="13" t="s">
        <v>50</v>
      </c>
      <c r="D39" s="13" t="s">
        <v>51</v>
      </c>
      <c r="E39" s="13" t="s">
        <v>33</v>
      </c>
      <c r="F39" s="13" t="s">
        <v>148</v>
      </c>
      <c r="G39" s="13" t="s">
        <v>149</v>
      </c>
      <c r="H39" s="13" t="s">
        <v>150</v>
      </c>
    </row>
    <row r="40" customFormat="false" ht="15" hidden="false" customHeight="true" outlineLevel="0" collapsed="false">
      <c r="A40" s="13" t="n">
        <v>34</v>
      </c>
      <c r="B40" s="14" t="s">
        <v>151</v>
      </c>
      <c r="C40" s="13" t="s">
        <v>50</v>
      </c>
      <c r="D40" s="13" t="s">
        <v>51</v>
      </c>
      <c r="E40" s="13" t="s">
        <v>33</v>
      </c>
      <c r="F40" s="13" t="s">
        <v>152</v>
      </c>
      <c r="G40" s="13" t="s">
        <v>153</v>
      </c>
      <c r="H40" s="13" t="s">
        <v>154</v>
      </c>
    </row>
    <row r="41" customFormat="false" ht="15" hidden="false" customHeight="true" outlineLevel="0" collapsed="false">
      <c r="A41" s="13" t="n">
        <v>35</v>
      </c>
      <c r="B41" s="14" t="s">
        <v>155</v>
      </c>
      <c r="C41" s="13" t="s">
        <v>38</v>
      </c>
      <c r="D41" s="13" t="s">
        <v>39</v>
      </c>
      <c r="E41" s="13" t="s">
        <v>33</v>
      </c>
      <c r="F41" s="13" t="s">
        <v>156</v>
      </c>
      <c r="G41" s="13" t="s">
        <v>106</v>
      </c>
      <c r="H41" s="13" t="s">
        <v>157</v>
      </c>
    </row>
    <row r="42" customFormat="false" ht="15" hidden="false" customHeight="true" outlineLevel="0" collapsed="false">
      <c r="A42" s="13" t="n">
        <v>36</v>
      </c>
      <c r="B42" s="14" t="s">
        <v>158</v>
      </c>
      <c r="C42" s="13" t="s">
        <v>38</v>
      </c>
      <c r="D42" s="13" t="s">
        <v>39</v>
      </c>
      <c r="E42" s="13" t="s">
        <v>33</v>
      </c>
      <c r="F42" s="13" t="s">
        <v>159</v>
      </c>
      <c r="G42" s="13" t="s">
        <v>153</v>
      </c>
      <c r="H42" s="13" t="s">
        <v>160</v>
      </c>
    </row>
    <row r="43" customFormat="false" ht="15" hidden="false" customHeight="true" outlineLevel="0" collapsed="false">
      <c r="A43" s="11"/>
      <c r="B43" s="12" t="s">
        <v>161</v>
      </c>
      <c r="C43" s="11"/>
      <c r="D43" s="11"/>
      <c r="E43" s="11"/>
      <c r="F43" s="11"/>
      <c r="G43" s="11"/>
      <c r="H43" s="11"/>
    </row>
    <row r="44" customFormat="false" ht="15" hidden="false" customHeight="true" outlineLevel="0" collapsed="false">
      <c r="A44" s="13" t="n">
        <v>37</v>
      </c>
      <c r="B44" s="14" t="s">
        <v>162</v>
      </c>
      <c r="C44" s="13" t="s">
        <v>38</v>
      </c>
      <c r="D44" s="13" t="s">
        <v>39</v>
      </c>
      <c r="E44" s="13" t="s">
        <v>33</v>
      </c>
      <c r="F44" s="13" t="s">
        <v>163</v>
      </c>
      <c r="G44" s="13" t="s">
        <v>164</v>
      </c>
      <c r="H44" s="13" t="s">
        <v>165</v>
      </c>
    </row>
    <row r="45" customFormat="false" ht="15" hidden="false" customHeight="true" outlineLevel="0" collapsed="false">
      <c r="A45" s="13" t="n">
        <v>38</v>
      </c>
      <c r="B45" s="14" t="s">
        <v>166</v>
      </c>
      <c r="C45" s="13" t="s">
        <v>50</v>
      </c>
      <c r="D45" s="13" t="s">
        <v>51</v>
      </c>
      <c r="E45" s="13" t="s">
        <v>33</v>
      </c>
      <c r="F45" s="13" t="s">
        <v>167</v>
      </c>
      <c r="G45" s="13" t="s">
        <v>164</v>
      </c>
      <c r="H45" s="13" t="s">
        <v>168</v>
      </c>
    </row>
    <row r="46" customFormat="false" ht="15" hidden="false" customHeight="true" outlineLevel="0" collapsed="false">
      <c r="A46" s="13" t="n">
        <v>39</v>
      </c>
      <c r="B46" s="14" t="s">
        <v>169</v>
      </c>
      <c r="C46" s="13" t="s">
        <v>38</v>
      </c>
      <c r="D46" s="13" t="s">
        <v>39</v>
      </c>
      <c r="E46" s="13" t="s">
        <v>33</v>
      </c>
      <c r="F46" s="13" t="s">
        <v>170</v>
      </c>
      <c r="G46" s="13" t="s">
        <v>164</v>
      </c>
      <c r="H46" s="13" t="s">
        <v>171</v>
      </c>
    </row>
    <row r="47" customFormat="false" ht="15" hidden="false" customHeight="true" outlineLevel="0" collapsed="false">
      <c r="A47" s="13" t="n">
        <v>40</v>
      </c>
      <c r="B47" s="14" t="s">
        <v>172</v>
      </c>
      <c r="C47" s="13" t="s">
        <v>50</v>
      </c>
      <c r="D47" s="13" t="s">
        <v>51</v>
      </c>
      <c r="E47" s="13" t="s">
        <v>33</v>
      </c>
      <c r="F47" s="13" t="s">
        <v>173</v>
      </c>
      <c r="G47" s="13" t="s">
        <v>164</v>
      </c>
      <c r="H47" s="13" t="s">
        <v>174</v>
      </c>
    </row>
    <row r="48" customFormat="false" ht="15" hidden="false" customHeight="true" outlineLevel="0" collapsed="false">
      <c r="A48" s="13" t="n">
        <v>41</v>
      </c>
      <c r="B48" s="14" t="s">
        <v>175</v>
      </c>
      <c r="C48" s="13" t="s">
        <v>38</v>
      </c>
      <c r="D48" s="13" t="s">
        <v>39</v>
      </c>
      <c r="E48" s="13" t="s">
        <v>33</v>
      </c>
      <c r="F48" s="13" t="s">
        <v>176</v>
      </c>
      <c r="G48" s="13" t="s">
        <v>164</v>
      </c>
      <c r="H48" s="13" t="s">
        <v>177</v>
      </c>
    </row>
    <row r="49" customFormat="false" ht="15" hidden="false" customHeight="true" outlineLevel="0" collapsed="false">
      <c r="A49" s="11"/>
      <c r="B49" s="12" t="s">
        <v>178</v>
      </c>
      <c r="C49" s="11"/>
      <c r="D49" s="11"/>
      <c r="E49" s="11"/>
      <c r="F49" s="11"/>
      <c r="G49" s="11"/>
      <c r="H49" s="11"/>
    </row>
    <row r="50" customFormat="false" ht="15" hidden="false" customHeight="true" outlineLevel="0" collapsed="false">
      <c r="A50" s="13" t="n">
        <v>42</v>
      </c>
      <c r="B50" s="14" t="s">
        <v>179</v>
      </c>
      <c r="C50" s="13" t="s">
        <v>77</v>
      </c>
      <c r="D50" s="13" t="s">
        <v>39</v>
      </c>
      <c r="E50" s="13" t="s">
        <v>33</v>
      </c>
      <c r="F50" s="13" t="s">
        <v>180</v>
      </c>
      <c r="G50" s="13" t="s">
        <v>181</v>
      </c>
      <c r="H50" s="13" t="s">
        <v>182</v>
      </c>
    </row>
    <row r="51" customFormat="false" ht="23.25" hidden="false" customHeight="true" outlineLevel="0" collapsed="false">
      <c r="A51" s="13" t="n">
        <v>43</v>
      </c>
      <c r="B51" s="14" t="s">
        <v>183</v>
      </c>
      <c r="C51" s="13" t="s">
        <v>38</v>
      </c>
      <c r="D51" s="13" t="s">
        <v>39</v>
      </c>
      <c r="E51" s="13" t="s">
        <v>33</v>
      </c>
      <c r="F51" s="13" t="s">
        <v>184</v>
      </c>
      <c r="G51" s="13" t="s">
        <v>132</v>
      </c>
      <c r="H51" s="13" t="s">
        <v>185</v>
      </c>
    </row>
    <row r="52" customFormat="false" ht="15" hidden="false" customHeight="true" outlineLevel="0" collapsed="false">
      <c r="A52" s="13" t="n">
        <v>44</v>
      </c>
      <c r="B52" s="14" t="s">
        <v>186</v>
      </c>
      <c r="C52" s="13" t="s">
        <v>38</v>
      </c>
      <c r="D52" s="13" t="s">
        <v>39</v>
      </c>
      <c r="E52" s="13" t="s">
        <v>33</v>
      </c>
      <c r="F52" s="13" t="s">
        <v>187</v>
      </c>
      <c r="G52" s="13" t="s">
        <v>188</v>
      </c>
      <c r="H52" s="13" t="s">
        <v>189</v>
      </c>
    </row>
    <row r="53" customFormat="false" ht="15" hidden="false" customHeight="true" outlineLevel="0" collapsed="false">
      <c r="A53" s="13" t="n">
        <v>45</v>
      </c>
      <c r="B53" s="14" t="s">
        <v>190</v>
      </c>
      <c r="C53" s="13" t="s">
        <v>38</v>
      </c>
      <c r="D53" s="13" t="s">
        <v>39</v>
      </c>
      <c r="E53" s="13" t="s">
        <v>33</v>
      </c>
      <c r="F53" s="13" t="s">
        <v>191</v>
      </c>
      <c r="G53" s="13" t="s">
        <v>41</v>
      </c>
      <c r="H53" s="13" t="s">
        <v>192</v>
      </c>
    </row>
    <row r="54" customFormat="false" ht="15" hidden="false" customHeight="true" outlineLevel="0" collapsed="false">
      <c r="A54" s="13" t="n">
        <v>46</v>
      </c>
      <c r="B54" s="14" t="s">
        <v>193</v>
      </c>
      <c r="C54" s="13" t="s">
        <v>50</v>
      </c>
      <c r="D54" s="13" t="s">
        <v>51</v>
      </c>
      <c r="E54" s="13" t="s">
        <v>33</v>
      </c>
      <c r="F54" s="13" t="s">
        <v>194</v>
      </c>
      <c r="G54" s="13" t="s">
        <v>41</v>
      </c>
      <c r="H54" s="13" t="s">
        <v>195</v>
      </c>
    </row>
    <row r="55" customFormat="false" ht="15" hidden="false" customHeight="true" outlineLevel="0" collapsed="false">
      <c r="A55" s="13" t="n">
        <v>47</v>
      </c>
      <c r="B55" s="14" t="s">
        <v>196</v>
      </c>
      <c r="C55" s="13" t="s">
        <v>38</v>
      </c>
      <c r="D55" s="13" t="s">
        <v>39</v>
      </c>
      <c r="E55" s="13" t="s">
        <v>33</v>
      </c>
      <c r="F55" s="13" t="s">
        <v>197</v>
      </c>
      <c r="G55" s="13" t="s">
        <v>41</v>
      </c>
      <c r="H55" s="13" t="s">
        <v>198</v>
      </c>
    </row>
    <row r="56" customFormat="false" ht="15" hidden="false" customHeight="true" outlineLevel="0" collapsed="false">
      <c r="A56" s="11"/>
      <c r="B56" s="12" t="s">
        <v>199</v>
      </c>
      <c r="C56" s="11"/>
      <c r="D56" s="11"/>
      <c r="E56" s="11"/>
      <c r="F56" s="11"/>
      <c r="G56" s="11"/>
      <c r="H56" s="11"/>
    </row>
    <row r="57" customFormat="false" ht="15" hidden="false" customHeight="true" outlineLevel="0" collapsed="false">
      <c r="A57" s="13" t="n">
        <v>48</v>
      </c>
      <c r="B57" s="14" t="s">
        <v>200</v>
      </c>
      <c r="C57" s="13" t="s">
        <v>38</v>
      </c>
      <c r="D57" s="13" t="s">
        <v>39</v>
      </c>
      <c r="E57" s="13" t="s">
        <v>33</v>
      </c>
      <c r="F57" s="13" t="s">
        <v>201</v>
      </c>
      <c r="G57" s="13" t="s">
        <v>202</v>
      </c>
      <c r="H57" s="13" t="s">
        <v>203</v>
      </c>
    </row>
    <row r="58" customFormat="false" ht="15" hidden="false" customHeight="true" outlineLevel="0" collapsed="false">
      <c r="A58" s="13" t="n">
        <v>49</v>
      </c>
      <c r="B58" s="14" t="s">
        <v>204</v>
      </c>
      <c r="C58" s="13" t="s">
        <v>38</v>
      </c>
      <c r="D58" s="13" t="s">
        <v>39</v>
      </c>
      <c r="E58" s="13" t="s">
        <v>33</v>
      </c>
      <c r="F58" s="13" t="s">
        <v>205</v>
      </c>
      <c r="G58" s="13" t="s">
        <v>202</v>
      </c>
      <c r="H58" s="13" t="s">
        <v>206</v>
      </c>
    </row>
    <row r="59" customFormat="false" ht="23.25" hidden="false" customHeight="true" outlineLevel="0" collapsed="false">
      <c r="A59" s="13" t="n">
        <v>50</v>
      </c>
      <c r="B59" s="14" t="s">
        <v>207</v>
      </c>
      <c r="C59" s="13" t="s">
        <v>38</v>
      </c>
      <c r="D59" s="13" t="s">
        <v>39</v>
      </c>
      <c r="E59" s="13" t="s">
        <v>33</v>
      </c>
      <c r="F59" s="13" t="s">
        <v>208</v>
      </c>
      <c r="G59" s="13" t="s">
        <v>209</v>
      </c>
      <c r="H59" s="13" t="s">
        <v>210</v>
      </c>
    </row>
    <row r="60" customFormat="false" ht="15" hidden="false" customHeight="true" outlineLevel="0" collapsed="false">
      <c r="A60" s="13" t="n">
        <v>51</v>
      </c>
      <c r="B60" s="14" t="s">
        <v>211</v>
      </c>
      <c r="C60" s="13" t="s">
        <v>38</v>
      </c>
      <c r="D60" s="13" t="s">
        <v>39</v>
      </c>
      <c r="E60" s="13" t="s">
        <v>33</v>
      </c>
      <c r="F60" s="13" t="s">
        <v>212</v>
      </c>
      <c r="G60" s="13" t="s">
        <v>202</v>
      </c>
      <c r="H60" s="13" t="s">
        <v>213</v>
      </c>
    </row>
    <row r="61" customFormat="false" ht="15" hidden="false" customHeight="true" outlineLevel="0" collapsed="false">
      <c r="A61" s="11"/>
      <c r="B61" s="12" t="s">
        <v>214</v>
      </c>
      <c r="C61" s="11"/>
      <c r="D61" s="11"/>
      <c r="E61" s="11"/>
      <c r="F61" s="11"/>
      <c r="G61" s="11"/>
      <c r="H61" s="11"/>
    </row>
    <row r="62" customFormat="false" ht="15" hidden="false" customHeight="true" outlineLevel="0" collapsed="false">
      <c r="A62" s="13" t="n">
        <v>52</v>
      </c>
      <c r="B62" s="14" t="s">
        <v>215</v>
      </c>
      <c r="C62" s="13" t="s">
        <v>38</v>
      </c>
      <c r="D62" s="13" t="s">
        <v>39</v>
      </c>
      <c r="E62" s="13" t="s">
        <v>33</v>
      </c>
      <c r="F62" s="13" t="s">
        <v>216</v>
      </c>
      <c r="G62" s="13" t="s">
        <v>217</v>
      </c>
      <c r="H62" s="13" t="s">
        <v>218</v>
      </c>
    </row>
    <row r="63" customFormat="false" ht="15" hidden="false" customHeight="true" outlineLevel="0" collapsed="false">
      <c r="A63" s="13" t="n">
        <v>53</v>
      </c>
      <c r="B63" s="14" t="s">
        <v>219</v>
      </c>
      <c r="C63" s="13" t="s">
        <v>38</v>
      </c>
      <c r="D63" s="13" t="s">
        <v>39</v>
      </c>
      <c r="E63" s="13" t="s">
        <v>33</v>
      </c>
      <c r="F63" s="13" t="s">
        <v>220</v>
      </c>
      <c r="G63" s="13" t="s">
        <v>41</v>
      </c>
      <c r="H63" s="13" t="s">
        <v>221</v>
      </c>
    </row>
    <row r="64" customFormat="false" ht="15" hidden="false" customHeight="true" outlineLevel="0" collapsed="false">
      <c r="A64" s="13" t="n">
        <v>54</v>
      </c>
      <c r="B64" s="14" t="s">
        <v>222</v>
      </c>
      <c r="C64" s="13" t="s">
        <v>38</v>
      </c>
      <c r="D64" s="13" t="s">
        <v>39</v>
      </c>
      <c r="E64" s="13" t="s">
        <v>33</v>
      </c>
      <c r="F64" s="13" t="s">
        <v>223</v>
      </c>
      <c r="G64" s="13" t="s">
        <v>41</v>
      </c>
      <c r="H64" s="13" t="s">
        <v>224</v>
      </c>
    </row>
    <row r="65" customFormat="false" ht="15" hidden="false" customHeight="true" outlineLevel="0" collapsed="false">
      <c r="A65" s="13" t="n">
        <v>55</v>
      </c>
      <c r="B65" s="14" t="s">
        <v>225</v>
      </c>
      <c r="C65" s="13" t="s">
        <v>50</v>
      </c>
      <c r="D65" s="13" t="s">
        <v>51</v>
      </c>
      <c r="E65" s="13" t="s">
        <v>33</v>
      </c>
      <c r="F65" s="13" t="s">
        <v>226</v>
      </c>
      <c r="G65" s="13" t="s">
        <v>41</v>
      </c>
      <c r="H65" s="13" t="s">
        <v>227</v>
      </c>
    </row>
  </sheetData>
  <autoFilter ref="A2:H65"/>
  <conditionalFormatting sqref="E3:E65">
    <cfRule type="cellIs" priority="2" operator="equal" aboveAverage="0" equalAverage="0" bottom="0" percent="0" rank="0" text="" dxfId="7">
      <formula>"Готов"</formula>
    </cfRule>
    <cfRule type="cellIs" priority="3" operator="equal" aboveAverage="0" equalAverage="0" bottom="0" percent="0" rank="0" text="" dxfId="8">
      <formula>"Не создан"</formula>
    </cfRule>
    <cfRule type="cellIs" priority="4" operator="equal" aboveAverage="0" equalAverage="0" bottom="0" percent="0" rank="0" text="" dxfId="9">
      <formula>"В работе"</formula>
    </cfRule>
    <cfRule type="cellIs" priority="5" operator="equal" aboveAverage="0" equalAverage="0" bottom="0" percent="0" rank="0" text="" dxfId="10">
      <formula>"Не требуется"</formula>
    </cfRule>
  </conditionalFormatting>
  <dataValidations count="3">
    <dataValidation allowBlank="true" error="Выберите из списка" errorStyle="stop" operator="between" showDropDown="false" showErrorMessage="false" showInputMessage="false" sqref="C3:C65" type="list">
      <formula1>Справочники!$B$2:$B$8</formula1>
      <formula2>0</formula2>
    </dataValidation>
    <dataValidation allowBlank="true" error="Выберите из списка" errorStyle="stop" operator="between" showDropDown="false" showErrorMessage="false" showInputMessage="false" sqref="D3:D65" type="list">
      <formula1>Справочники!$C$2:$C$6</formula1>
      <formula2>0</formula2>
    </dataValidation>
    <dataValidation allowBlank="true" error="Выберите из списка" errorStyle="stop" operator="between" showDropDown="false" showErrorMessage="false" showInputMessage="false" sqref="E3:E65" type="list">
      <formula1>Справочники!$D$2:$D$5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4"/>
  </cols>
  <sheetData>
    <row r="2" customFormat="false" ht="17.25" hidden="false" customHeight="true" outlineLevel="0" collapsed="false">
      <c r="B2" s="9" t="s">
        <v>228</v>
      </c>
    </row>
    <row r="3" customFormat="false" ht="15" hidden="false" customHeight="true" outlineLevel="0" collapsed="false">
      <c r="B3" s="3" t="s">
        <v>229</v>
      </c>
    </row>
    <row r="5" customFormat="false" ht="15" hidden="false" customHeight="true" outlineLevel="0" collapsed="false">
      <c r="B5" s="6" t="s">
        <v>230</v>
      </c>
    </row>
    <row r="6" customFormat="false" ht="15" hidden="false" customHeight="true" outlineLevel="0" collapsed="false">
      <c r="B6" s="10" t="s">
        <v>231</v>
      </c>
      <c r="C6" s="10" t="s">
        <v>232</v>
      </c>
    </row>
    <row r="7" customFormat="false" ht="15" hidden="false" customHeight="true" outlineLevel="0" collapsed="false">
      <c r="B7" s="15" t="s">
        <v>33</v>
      </c>
      <c r="C7" s="16" t="n">
        <f aca="false">COUNTIF('Реестр документов'!$E$3:$E$65,"Готов")</f>
        <v>55</v>
      </c>
    </row>
    <row r="8" customFormat="false" ht="15" hidden="false" customHeight="true" outlineLevel="0" collapsed="false">
      <c r="B8" s="17" t="s">
        <v>233</v>
      </c>
      <c r="C8" s="16" t="n">
        <f aca="false">COUNTIF('Реестр документов'!$E$3:$E$65,"В работе")</f>
        <v>0</v>
      </c>
    </row>
    <row r="9" customFormat="false" ht="15" hidden="false" customHeight="true" outlineLevel="0" collapsed="false">
      <c r="B9" s="18" t="s">
        <v>234</v>
      </c>
      <c r="C9" s="16" t="n">
        <f aca="false">COUNTIF('Реестр документов'!$E$3:$E$65,"Не создан")</f>
        <v>0</v>
      </c>
    </row>
    <row r="10" customFormat="false" ht="15" hidden="false" customHeight="true" outlineLevel="0" collapsed="false">
      <c r="B10" s="19" t="s">
        <v>235</v>
      </c>
      <c r="C10" s="16" t="n">
        <f aca="false">COUNTIF('Реестр документов'!$E$3:$E$65,"Не требуется")</f>
        <v>0</v>
      </c>
    </row>
    <row r="11" customFormat="false" ht="15" hidden="false" customHeight="true" outlineLevel="0" collapsed="false">
      <c r="B11" s="20" t="s">
        <v>236</v>
      </c>
      <c r="C11" s="21" t="n">
        <f aca="false">COUNTIF('Реестр документов'!$E$3:$E$65,"Готов")+COUNTIF('Реестр документов'!$E$3:$E$65,"В работе")+COUNTIF('Реестр документов'!$E$3:$E$65,"Не создан")+COUNTIF('Реестр документов'!$E$3:$E$65,"Не требуется")</f>
        <v>55</v>
      </c>
    </row>
    <row r="12" customFormat="false" ht="15" hidden="false" customHeight="true" outlineLevel="0" collapsed="false">
      <c r="B12" s="20" t="s">
        <v>237</v>
      </c>
      <c r="C12" s="22" t="n">
        <f aca="false">IFERROR(COUNTIF('Реестр документов'!$E$3:$E$65,"Готов")/(COUNTIF('Реестр документов'!$E$3:$E$65,"Готов")+COUNTIF('Реестр документов'!$E$3:$E$65,"В работе")+COUNTIF('Реестр документов'!$E$3:$E$65,"Не создан")),0)</f>
        <v>1</v>
      </c>
    </row>
    <row r="14" customFormat="false" ht="15" hidden="false" customHeight="true" outlineLevel="0" collapsed="false">
      <c r="B14" s="23" t="s">
        <v>238</v>
      </c>
      <c r="C14" s="23"/>
    </row>
    <row r="15" customFormat="false" ht="15" hidden="false" customHeight="true" outlineLevel="0" collapsed="false">
      <c r="B15" s="23"/>
      <c r="C15" s="23"/>
    </row>
    <row r="16" customFormat="false" ht="15" hidden="false" customHeight="true" outlineLevel="0" collapsed="false">
      <c r="B16" s="23"/>
      <c r="C16" s="23"/>
    </row>
    <row r="17" customFormat="false" ht="15" hidden="false" customHeight="true" outlineLevel="0" collapsed="false">
      <c r="B17" s="23"/>
      <c r="C17" s="23"/>
    </row>
    <row r="18" customFormat="false" ht="15" hidden="false" customHeight="true" outlineLevel="0" collapsed="false">
      <c r="B18" s="23"/>
      <c r="C18" s="23"/>
    </row>
  </sheetData>
  <mergeCells count="1">
    <mergeCell ref="B14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4" min="3" style="1" width="24"/>
  </cols>
  <sheetData>
    <row r="1" customFormat="false" ht="15" hidden="false" customHeight="true" outlineLevel="0" collapsed="false">
      <c r="A1" s="10" t="s">
        <v>239</v>
      </c>
      <c r="B1" s="10" t="s">
        <v>23</v>
      </c>
      <c r="C1" s="10" t="s">
        <v>24</v>
      </c>
      <c r="D1" s="10" t="s">
        <v>25</v>
      </c>
    </row>
    <row r="2" customFormat="false" ht="15" hidden="false" customHeight="true" outlineLevel="0" collapsed="false">
      <c r="A2" s="24" t="s">
        <v>29</v>
      </c>
      <c r="B2" s="24" t="s">
        <v>38</v>
      </c>
      <c r="C2" s="24" t="s">
        <v>39</v>
      </c>
      <c r="D2" s="24" t="s">
        <v>33</v>
      </c>
    </row>
    <row r="3" customFormat="false" ht="15" hidden="false" customHeight="true" outlineLevel="0" collapsed="false">
      <c r="A3" s="24" t="s">
        <v>84</v>
      </c>
      <c r="B3" s="24" t="s">
        <v>50</v>
      </c>
      <c r="C3" s="24" t="s">
        <v>51</v>
      </c>
      <c r="D3" s="24" t="s">
        <v>234</v>
      </c>
    </row>
    <row r="4" customFormat="false" ht="15" hidden="false" customHeight="true" outlineLevel="0" collapsed="false">
      <c r="A4" s="24" t="s">
        <v>108</v>
      </c>
      <c r="B4" s="24" t="s">
        <v>58</v>
      </c>
      <c r="C4" s="24" t="s">
        <v>78</v>
      </c>
      <c r="D4" s="24" t="s">
        <v>233</v>
      </c>
    </row>
    <row r="5" customFormat="false" ht="15" hidden="false" customHeight="true" outlineLevel="0" collapsed="false">
      <c r="A5" s="24" t="s">
        <v>146</v>
      </c>
      <c r="B5" s="24" t="s">
        <v>77</v>
      </c>
      <c r="C5" s="24" t="s">
        <v>32</v>
      </c>
      <c r="D5" s="24" t="s">
        <v>235</v>
      </c>
    </row>
    <row r="6" customFormat="false" ht="15" hidden="false" customHeight="true" outlineLevel="0" collapsed="false">
      <c r="A6" s="24" t="s">
        <v>161</v>
      </c>
      <c r="B6" s="24" t="s">
        <v>123</v>
      </c>
      <c r="C6" s="24" t="s">
        <v>240</v>
      </c>
    </row>
    <row r="7" customFormat="false" ht="15" hidden="false" customHeight="true" outlineLevel="0" collapsed="false">
      <c r="A7" s="24" t="s">
        <v>178</v>
      </c>
      <c r="B7" s="24" t="s">
        <v>110</v>
      </c>
    </row>
    <row r="8" customFormat="false" ht="15" hidden="false" customHeight="true" outlineLevel="0" collapsed="false">
      <c r="A8" s="24" t="s">
        <v>199</v>
      </c>
      <c r="B8" s="24" t="s">
        <v>31</v>
      </c>
    </row>
    <row r="9" customFormat="false" ht="15" hidden="false" customHeight="true" outlineLevel="0" collapsed="false">
      <c r="A9" s="24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70"/>
    <col collapsed="false" customWidth="true" hidden="false" outlineLevel="0" max="4" min="4" style="1" width="24"/>
  </cols>
  <sheetData>
    <row r="1" customFormat="false" ht="15.75" hidden="false" customHeight="true" outlineLevel="0" collapsed="false">
      <c r="A1" s="25" t="s">
        <v>241</v>
      </c>
    </row>
    <row r="2" customFormat="false" ht="15" hidden="false" customHeight="true" outlineLevel="0" collapsed="false">
      <c r="A2" s="10" t="s">
        <v>242</v>
      </c>
      <c r="B2" s="10" t="s">
        <v>243</v>
      </c>
      <c r="C2" s="10" t="s">
        <v>244</v>
      </c>
      <c r="D2" s="10" t="s">
        <v>245</v>
      </c>
    </row>
    <row r="3" customFormat="false" ht="15" hidden="false" customHeight="true" outlineLevel="0" collapsed="false">
      <c r="A3" s="26" t="s">
        <v>246</v>
      </c>
      <c r="B3" s="26" t="s">
        <v>247</v>
      </c>
      <c r="C3" s="26" t="s">
        <v>248</v>
      </c>
      <c r="D3" s="26" t="s">
        <v>249</v>
      </c>
    </row>
    <row r="4" customFormat="false" ht="15" hidden="false" customHeight="true" outlineLevel="0" collapsed="false">
      <c r="A4" s="27"/>
      <c r="B4" s="27"/>
      <c r="C4" s="27"/>
      <c r="D4" s="27"/>
    </row>
    <row r="5" customFormat="false" ht="15" hidden="false" customHeight="true" outlineLevel="0" collapsed="false">
      <c r="A5" s="27"/>
      <c r="B5" s="27"/>
      <c r="C5" s="27"/>
      <c r="D5" s="27"/>
    </row>
    <row r="6" customFormat="false" ht="15" hidden="false" customHeight="true" outlineLevel="0" collapsed="false">
      <c r="A6" s="27"/>
      <c r="B6" s="27"/>
      <c r="C6" s="27"/>
      <c r="D6" s="27"/>
    </row>
    <row r="7" customFormat="false" ht="15" hidden="false" customHeight="true" outlineLevel="0" collapsed="false">
      <c r="A7" s="27"/>
      <c r="B7" s="27"/>
      <c r="C7" s="27"/>
      <c r="D7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2026-06-19T08:41:18Z</dcterms:created>
  <dc:creator>openpyxl</dc:creator>
  <dc:description/>
  <dc:language>en-US</dc:language>
  <cp:lastModifiedBy/>
  <dcterms:modified xsi:type="dcterms:W3CDTF">2026-06-22T07:32:23Z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