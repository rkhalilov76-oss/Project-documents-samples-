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"/>
    </mc:Choice>
  </mc:AlternateContent>
  <xr:revisionPtr revIDLastSave="0" documentId="8_{CB953A4A-6D5E-40BD-8DE3-E95490AA9CE7}" xr6:coauthVersionLast="47" xr6:coauthVersionMax="47" xr10:uidLastSave="{00000000-0000-0000-0000-000000000000}"/>
  <bookViews>
    <workbookView xWindow="18075" yWindow="4350" windowWidth="25860" windowHeight="16530" tabRatio="500" xr2:uid="{00000000-000D-0000-FFFF-FFFF00000000}"/>
  </bookViews>
  <sheets>
    <sheet name="Инструкция" sheetId="1" r:id="rId1"/>
    <sheet name="Журнал версий" sheetId="2" r:id="rId2"/>
    <sheet name="Сводка" sheetId="3" r:id="rId3"/>
    <sheet name="Справочники" sheetId="4" r:id="rId4"/>
    <sheet name="Журнал изменений" sheetId="5" r:id="rId5"/>
  </sheets>
  <definedNames>
    <definedName name="_xlnm._FilterDatabase" localSheetId="1" hidden="1">'Журнал версий'!$A$2:$M$202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" i="3" l="1"/>
  <c r="F18" i="3"/>
  <c r="F17" i="3"/>
  <c r="F16" i="3"/>
  <c r="F15" i="3"/>
  <c r="F11" i="3"/>
  <c r="C11" i="3"/>
  <c r="F10" i="3"/>
  <c r="C10" i="3"/>
  <c r="F9" i="3"/>
  <c r="C9" i="3"/>
  <c r="F8" i="3"/>
  <c r="C8" i="3"/>
  <c r="F7" i="3"/>
  <c r="C7" i="3"/>
</calcChain>
</file>

<file path=xl/sharedStrings.xml><?xml version="1.0" encoding="utf-8"?>
<sst xmlns="http://schemas.openxmlformats.org/spreadsheetml/2006/main" count="125" uniqueCount="82">
  <si>
    <t>ЖУРНАЛ ВЕРСИЙ КОНФИГУРАЦИИ</t>
  </si>
  <si>
    <t>Configuration Version Log — учёт версий и изменений конфигурации 1С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</si>
  <si>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</si>
  <si>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</si>
  <si>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</si>
  <si>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</si>
  <si>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</si>
  <si>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[0.1]</t>
  </si>
  <si>
    <t>Дата:</t>
  </si>
  <si>
    <t>[ДД.ММ.ГГГГ]</t>
  </si>
  <si>
    <t>Владелец документа:</t>
  </si>
  <si>
    <t>[Ведущий разработчик / Архитектор]</t>
  </si>
  <si>
    <t>Назначение</t>
  </si>
  <si>
    <t>Журнал фиксирует историю версий конфигурации: что изменено, кем, когда, по какой доработке, в какой среде развёрнуто. Обеспечивает прослеживаемость изменений, связь с реестром доработок и контроль выкатки по средам (dev → test → preprod → prod).</t>
  </si>
  <si>
    <t>Состав листов</t>
  </si>
  <si>
    <t>Журнал версий</t>
  </si>
  <si>
    <t>Основной журнал. Одна строка — одна версия/поставка конфигурации.</t>
  </si>
  <si>
    <t>Сводка</t>
  </si>
  <si>
    <t>Аналитика по средам, типам изменений.</t>
  </si>
  <si>
    <t>Справочники</t>
  </si>
  <si>
    <t>Списки значений для выпадающих полей.</t>
  </si>
  <si>
    <t>Журнал изменений</t>
  </si>
  <si>
    <t>Версии документа.</t>
  </si>
  <si>
    <t>Как заполнять</t>
  </si>
  <si>
    <t>•  Версия — по принятой схеме (например, семантической: МАЖОР.МИНОР.ПATCH или внутренней нумерации).</t>
  </si>
  <si>
    <t>•  Связывайте с доработкой (DEV ID) и ЧТЗ — для трассировки.</t>
  </si>
  <si>
    <t>•  Указывайте среду развёртывания и дату выката; ведите статус приёмки/отката.</t>
  </si>
  <si>
    <t>•  Комментарий к версии — что и зачем изменено (как в хранилище конфигурации).</t>
  </si>
  <si>
    <t>Журнал версий конфигурации</t>
  </si>
  <si>
    <t>№</t>
  </si>
  <si>
    <t>Версия</t>
  </si>
  <si>
    <t>Дата</t>
  </si>
  <si>
    <t>Тип изменения</t>
  </si>
  <si>
    <t>Связ. доработка (DEV)</t>
  </si>
  <si>
    <t>ЧТЗ</t>
  </si>
  <si>
    <t>Описание изменений</t>
  </si>
  <si>
    <t>Автор изменения</t>
  </si>
  <si>
    <t>Среда</t>
  </si>
  <si>
    <t>Дата выката</t>
  </si>
  <si>
    <t>Статус</t>
  </si>
  <si>
    <t>Связ. дефект</t>
  </si>
  <si>
    <t>Примечание</t>
  </si>
  <si>
    <t>[1.0.0]</t>
  </si>
  <si>
    <t>Доработка</t>
  </si>
  <si>
    <t>DEV-001</t>
  </si>
  <si>
    <t>ЧТЗ-04</t>
  </si>
  <si>
    <t>Расчёт себестоимости по переделам</t>
  </si>
  <si>
    <t>[ФИО]</t>
  </si>
  <si>
    <t>Тестовая</t>
  </si>
  <si>
    <t>Развёрнута</t>
  </si>
  <si>
    <t>[1.0.1]</t>
  </si>
  <si>
    <t>Исправление дефекта</t>
  </si>
  <si>
    <t>Исправление округления в расчёте</t>
  </si>
  <si>
    <t>Принята</t>
  </si>
  <si>
    <t>BUG-012</t>
  </si>
  <si>
    <t>[1.1.0]</t>
  </si>
  <si>
    <t>DEV-002</t>
  </si>
  <si>
    <t>ЧТЗ-03</t>
  </si>
  <si>
    <t>Доп. реквизиты договора для консолидации</t>
  </si>
  <si>
    <t>Предпрод</t>
  </si>
  <si>
    <t>Собрана</t>
  </si>
  <si>
    <t>Сводка по версиям</t>
  </si>
  <si>
    <t>Считается автоматически по листу «Журнал версий».</t>
  </si>
  <si>
    <t>По среде</t>
  </si>
  <si>
    <t>По типу изменения</t>
  </si>
  <si>
    <t>Кол-во</t>
  </si>
  <si>
    <t>Тип</t>
  </si>
  <si>
    <t>Разработка</t>
  </si>
  <si>
    <t>Настройка</t>
  </si>
  <si>
    <t>Продуктив</t>
  </si>
  <si>
    <t>Обновление типовой</t>
  </si>
  <si>
    <t>Всего версий</t>
  </si>
  <si>
    <t>Откат</t>
  </si>
  <si>
    <t>По статусу</t>
  </si>
  <si>
    <t>Отклонена</t>
  </si>
  <si>
    <t>Откачена</t>
  </si>
  <si>
    <t>Журнал изменений документа</t>
  </si>
  <si>
    <t>Автор</t>
  </si>
  <si>
    <t>0.1</t>
  </si>
  <si>
    <t>ДД.ММ.ГГГГ</t>
  </si>
  <si>
    <t>Создание документа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</si>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</sst>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2E75B6"/>
      <name val="Arial"/>
      <charset val="1"/>
    </font>
    <font>
      <b/>
      <sz val="11"/>
      <color rgb="FF1F4E79"/>
      <name val="Arial"/>
      <charset val="1"/>
    </font>
    <font>
      <b/>
      <sz val="13"/>
      <color rgb="FF1F4E79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0" xfId="0" applyFont="1"/>
    <xf numFmtId="0" fontId="9" fillId="0" borderId="1" xfId="0" applyFont="1" applyBorder="1"/>
    <xf numFmtId="0" fontId="12" fillId="0" borderId="1" xfId="0" applyFont="1" applyBorder="1"/>
  </cellXfs>
  <cellStyles count="1">
    <cellStyle name="Обычный" xfId="0" builtinId="0"/>
  </cellStyles>
  <dxfs count="3">
    <dxf>
      <fill>
        <patternFill>
          <bgColor rgb="FFF4B183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375623"/>
      </font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showGridLines="0" tabSelected="1" zoomScaleNormal="100" workbookViewId="0"/>
  </sheetViews>
  <sheetFormatPr defaultColWidth="8.7109375" defaultRowHeight="15" x14ac:dyDescent="0.25"/>
  <cols>
    <col min="1" max="1" width="3" customWidth="1"/>
    <col min="2" max="2" width="32" customWidth="1"/>
    <col min="3" max="3" width="95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1" spans="2:3" ht="15.75" x14ac:dyDescent="0.25">
      <c r="B11" s="5" t="s">
        <v>12</v>
      </c>
    </row>
    <row r="12" spans="2:3" ht="55.5" customHeight="1" x14ac:dyDescent="0.25">
      <c r="C12" s="6" t="s">
        <v>13</v>
      </c>
    </row>
    <row r="14" spans="2:3" ht="15.75" x14ac:dyDescent="0.25">
      <c r="B14" s="5" t="s">
        <v>14</v>
      </c>
    </row>
    <row r="15" spans="2:3" x14ac:dyDescent="0.25">
      <c r="B15" s="3" t="s">
        <v>15</v>
      </c>
      <c r="C15" s="7" t="s">
        <v>16</v>
      </c>
    </row>
    <row r="16" spans="2:3" x14ac:dyDescent="0.25">
      <c r="B16" s="3" t="s">
        <v>17</v>
      </c>
      <c r="C16" s="7" t="s">
        <v>18</v>
      </c>
    </row>
    <row r="17" spans="2:3" x14ac:dyDescent="0.25">
      <c r="B17" s="3" t="s">
        <v>19</v>
      </c>
      <c r="C17" s="7" t="s">
        <v>20</v>
      </c>
    </row>
    <row r="18" spans="2:3" x14ac:dyDescent="0.25">
      <c r="B18" s="3" t="s">
        <v>21</v>
      </c>
      <c r="C18" s="7" t="s">
        <v>22</v>
      </c>
    </row>
    <row r="20" spans="2:3" ht="15.75" x14ac:dyDescent="0.25">
      <c r="B20" s="5" t="s">
        <v>23</v>
      </c>
    </row>
    <row r="21" spans="2:3" ht="27.75" customHeight="1" x14ac:dyDescent="0.25">
      <c r="C21" s="7" t="s">
        <v>24</v>
      </c>
    </row>
    <row r="22" spans="2:3" ht="27.75" customHeight="1" x14ac:dyDescent="0.25">
      <c r="C22" s="7" t="s">
        <v>25</v>
      </c>
    </row>
    <row r="23" spans="2:3" ht="27.75" customHeight="1" x14ac:dyDescent="0.25">
      <c r="C23" s="7" t="s">
        <v>26</v>
      </c>
    </row>
    <row r="24" spans="2:3" ht="27.75" customHeight="1" x14ac:dyDescent="0.25">
      <c r="C24" s="7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2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x14ac:dyDescent="0.25"/>
  <cols>
    <col min="1" max="1" width="6" customWidth="1"/>
    <col min="2" max="2" width="14" customWidth="1"/>
    <col min="3" max="3" width="12" customWidth="1"/>
    <col min="4" max="4" width="18" customWidth="1"/>
    <col min="5" max="5" width="16" customWidth="1"/>
    <col min="6" max="6" width="11" customWidth="1"/>
    <col min="7" max="7" width="38" customWidth="1"/>
    <col min="8" max="8" width="18" customWidth="1"/>
    <col min="9" max="9" width="14" customWidth="1"/>
    <col min="10" max="10" width="12" customWidth="1"/>
    <col min="11" max="11" width="14" customWidth="1"/>
    <col min="12" max="12" width="13" customWidth="1"/>
    <col min="13" max="13" width="22" customWidth="1"/>
  </cols>
  <sheetData>
    <row r="1" spans="1:13" ht="18" x14ac:dyDescent="0.25">
      <c r="A1" s="8" t="s">
        <v>28</v>
      </c>
    </row>
    <row r="2" spans="1:13" ht="39.75" customHeight="1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37</v>
      </c>
      <c r="J2" s="9" t="s">
        <v>38</v>
      </c>
      <c r="K2" s="9" t="s">
        <v>39</v>
      </c>
      <c r="L2" s="9" t="s">
        <v>40</v>
      </c>
      <c r="M2" s="9" t="s">
        <v>41</v>
      </c>
    </row>
    <row r="3" spans="1:13" ht="25.5" x14ac:dyDescent="0.25">
      <c r="A3" s="10">
        <v>1</v>
      </c>
      <c r="B3" s="10" t="s">
        <v>42</v>
      </c>
      <c r="C3" s="10" t="s">
        <v>9</v>
      </c>
      <c r="D3" s="10" t="s">
        <v>43</v>
      </c>
      <c r="E3" s="10" t="s">
        <v>44</v>
      </c>
      <c r="F3" s="10" t="s">
        <v>45</v>
      </c>
      <c r="G3" s="10" t="s">
        <v>46</v>
      </c>
      <c r="H3" s="10" t="s">
        <v>47</v>
      </c>
      <c r="I3" s="10" t="s">
        <v>48</v>
      </c>
      <c r="J3" s="10" t="s">
        <v>9</v>
      </c>
      <c r="K3" s="10" t="s">
        <v>49</v>
      </c>
      <c r="L3" s="10"/>
      <c r="M3" s="10"/>
    </row>
    <row r="4" spans="1:13" ht="25.5" x14ac:dyDescent="0.25">
      <c r="A4" s="10">
        <v>2</v>
      </c>
      <c r="B4" s="10" t="s">
        <v>50</v>
      </c>
      <c r="C4" s="10" t="s">
        <v>9</v>
      </c>
      <c r="D4" s="10" t="s">
        <v>51</v>
      </c>
      <c r="E4" s="10" t="s">
        <v>44</v>
      </c>
      <c r="F4" s="10" t="s">
        <v>45</v>
      </c>
      <c r="G4" s="10" t="s">
        <v>52</v>
      </c>
      <c r="H4" s="10" t="s">
        <v>47</v>
      </c>
      <c r="I4" s="10" t="s">
        <v>48</v>
      </c>
      <c r="J4" s="10" t="s">
        <v>9</v>
      </c>
      <c r="K4" s="10" t="s">
        <v>53</v>
      </c>
      <c r="L4" s="10" t="s">
        <v>54</v>
      </c>
      <c r="M4" s="10"/>
    </row>
    <row r="5" spans="1:13" ht="25.5" x14ac:dyDescent="0.25">
      <c r="A5" s="10">
        <v>3</v>
      </c>
      <c r="B5" s="10" t="s">
        <v>55</v>
      </c>
      <c r="C5" s="10" t="s">
        <v>9</v>
      </c>
      <c r="D5" s="10" t="s">
        <v>43</v>
      </c>
      <c r="E5" s="10" t="s">
        <v>56</v>
      </c>
      <c r="F5" s="10" t="s">
        <v>57</v>
      </c>
      <c r="G5" s="10" t="s">
        <v>58</v>
      </c>
      <c r="H5" s="10" t="s">
        <v>47</v>
      </c>
      <c r="I5" s="10" t="s">
        <v>59</v>
      </c>
      <c r="J5" s="10" t="s">
        <v>9</v>
      </c>
      <c r="K5" s="10" t="s">
        <v>60</v>
      </c>
      <c r="L5" s="10"/>
      <c r="M5" s="10"/>
    </row>
    <row r="6" spans="1:13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3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3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3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3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3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3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3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13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spans="1:13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spans="1:13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spans="1:13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spans="1:13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spans="1:13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1:13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spans="1:13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spans="1:13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1:13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1:13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1:13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1:13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1:13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spans="1:13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spans="1:13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1:13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1:13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1:13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1:13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13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1:13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1:13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1:13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spans="1:13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1:13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spans="1:13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spans="1:13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spans="1:13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spans="1:13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spans="1:13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spans="1:13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spans="1:13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spans="1:13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spans="1:13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spans="1:13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spans="1:13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spans="1:13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spans="1:13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spans="1:13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spans="1:13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spans="1:13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 spans="1:13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 spans="1:13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 spans="1:13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 spans="1:13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 spans="1:13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 spans="1:13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 spans="1:13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 spans="1:13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 spans="1:13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 spans="1:13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 spans="1:13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 spans="1:13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 spans="1:13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 spans="1:13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 spans="1:13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 spans="1:13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 spans="1:13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 spans="1:13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 spans="1:13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 spans="1:13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 spans="1:13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 spans="1:13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 spans="1:13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 spans="1:13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 spans="1:13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 spans="1:13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 spans="1:13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 spans="1:13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 spans="1:13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 spans="1:13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 spans="1:13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 spans="1:13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 spans="1:13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 spans="1:13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 spans="1:13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 spans="1:13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 spans="1:13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 spans="1:13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 spans="1:13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 spans="1:13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 spans="1:13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 spans="1:13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 spans="1:13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 spans="1:13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 spans="1:13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 spans="1:13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 spans="1:13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 spans="1:13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 spans="1:13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 spans="1:13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 spans="1:13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 spans="1:13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 spans="1:13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 spans="1:13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 spans="1:13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 spans="1:13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 spans="1:13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 spans="1:13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 spans="1:13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 spans="1:13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 spans="1:13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 spans="1:13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 spans="1:13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 spans="1:13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 spans="1:13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 spans="1:13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 spans="1:13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 spans="1:13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 spans="1:13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 spans="1:13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 spans="1:13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 spans="1:13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 spans="1:13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 spans="1:13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 spans="1:13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 spans="1:13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 spans="1:13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 spans="1:13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 spans="1:13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</sheetData>
  <autoFilter ref="A2:M202" xr:uid="{00000000-0009-0000-0000-000001000000}"/>
  <conditionalFormatting sqref="K3:K202">
    <cfRule type="cellIs" dxfId="2" priority="2" operator="equal">
      <formula>"Принята"</formula>
    </cfRule>
    <cfRule type="cellIs" dxfId="1" priority="3" operator="equal">
      <formula>"Откачена"</formula>
    </cfRule>
    <cfRule type="cellIs" dxfId="0" priority="4" operator="equal">
      <formula>"Отклонена"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Справочники!$B$2:$B$6</xm:f>
          </x14:formula1>
          <x14:formula2>
            <xm:f>0</xm:f>
          </x14:formula2>
          <xm:sqref>D3:D202</xm:sqref>
        </x14:dataValidation>
        <x14:dataValidation type="list" allowBlank="1" xr:uid="{00000000-0002-0000-0100-000001000000}">
          <x14:formula1>
            <xm:f>Справочники!$A$2:$A$5</xm:f>
          </x14:formula1>
          <x14:formula2>
            <xm:f>0</xm:f>
          </x14:formula2>
          <xm:sqref>I3:I202</xm:sqref>
        </x14:dataValidation>
        <x14:dataValidation type="list" allowBlank="1" xr:uid="{00000000-0002-0000-0100-000002000000}">
          <x14:formula1>
            <xm:f>Справочники!$C$2:$C$6</xm:f>
          </x14:formula1>
          <x14:formula2>
            <xm:f>0</xm:f>
          </x14:formula2>
          <xm:sqref>K3:K202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9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4" customWidth="1"/>
    <col min="3" max="3" width="14" customWidth="1"/>
    <col min="4" max="4" width="3" customWidth="1"/>
    <col min="5" max="5" width="22" customWidth="1"/>
    <col min="6" max="6" width="12" customWidth="1"/>
  </cols>
  <sheetData>
    <row r="2" spans="2:6" ht="18" x14ac:dyDescent="0.25">
      <c r="B2" s="8" t="s">
        <v>61</v>
      </c>
    </row>
    <row r="3" spans="2:6" x14ac:dyDescent="0.25">
      <c r="B3" s="2" t="s">
        <v>62</v>
      </c>
    </row>
    <row r="5" spans="2:6" ht="15.75" x14ac:dyDescent="0.25">
      <c r="B5" s="5" t="s">
        <v>63</v>
      </c>
      <c r="E5" s="5" t="s">
        <v>64</v>
      </c>
    </row>
    <row r="6" spans="2:6" x14ac:dyDescent="0.25">
      <c r="B6" s="9" t="s">
        <v>37</v>
      </c>
      <c r="C6" s="9" t="s">
        <v>65</v>
      </c>
      <c r="E6" s="9" t="s">
        <v>66</v>
      </c>
      <c r="F6" s="9" t="s">
        <v>65</v>
      </c>
    </row>
    <row r="7" spans="2:6" x14ac:dyDescent="0.25">
      <c r="B7" s="12" t="s">
        <v>67</v>
      </c>
      <c r="C7" s="13">
        <f>COUNTIF('Журнал версий'!$I$3:$I$202,"Разработка")</f>
        <v>0</v>
      </c>
      <c r="E7" s="12" t="s">
        <v>43</v>
      </c>
      <c r="F7" s="13">
        <f>COUNTIF('Журнал версий'!$D$3:$D$202,"Доработка")</f>
        <v>2</v>
      </c>
    </row>
    <row r="8" spans="2:6" x14ac:dyDescent="0.25">
      <c r="B8" s="12" t="s">
        <v>48</v>
      </c>
      <c r="C8" s="13">
        <f>COUNTIF('Журнал версий'!$I$3:$I$202,"Тестовая")</f>
        <v>2</v>
      </c>
      <c r="E8" s="12" t="s">
        <v>51</v>
      </c>
      <c r="F8" s="13">
        <f>COUNTIF('Журнал версий'!$D$3:$D$202,"Исправление дефекта")</f>
        <v>1</v>
      </c>
    </row>
    <row r="9" spans="2:6" x14ac:dyDescent="0.25">
      <c r="B9" s="12" t="s">
        <v>59</v>
      </c>
      <c r="C9" s="13">
        <f>COUNTIF('Журнал версий'!$I$3:$I$202,"Предпрод")</f>
        <v>1</v>
      </c>
      <c r="E9" s="12" t="s">
        <v>68</v>
      </c>
      <c r="F9" s="13">
        <f>COUNTIF('Журнал версий'!$D$3:$D$202,"Настройка")</f>
        <v>0</v>
      </c>
    </row>
    <row r="10" spans="2:6" x14ac:dyDescent="0.25">
      <c r="B10" s="12" t="s">
        <v>69</v>
      </c>
      <c r="C10" s="13">
        <f>COUNTIF('Журнал версий'!$I$3:$I$202,"Продуктив")</f>
        <v>0</v>
      </c>
      <c r="E10" s="12" t="s">
        <v>70</v>
      </c>
      <c r="F10" s="13">
        <f>COUNTIF('Журнал версий'!$D$3:$D$202,"Обновление типовой")</f>
        <v>0</v>
      </c>
    </row>
    <row r="11" spans="2:6" x14ac:dyDescent="0.25">
      <c r="B11" s="14" t="s">
        <v>71</v>
      </c>
      <c r="C11" s="15">
        <f>COUNTA('Журнал версий'!$A$3:$A$202)</f>
        <v>3</v>
      </c>
      <c r="E11" s="12" t="s">
        <v>72</v>
      </c>
      <c r="F11" s="13">
        <f>COUNTIF('Журнал версий'!$D$3:$D$202,"Откат")</f>
        <v>0</v>
      </c>
    </row>
    <row r="13" spans="2:6" ht="15.75" x14ac:dyDescent="0.25">
      <c r="E13" s="5" t="s">
        <v>73</v>
      </c>
    </row>
    <row r="14" spans="2:6" x14ac:dyDescent="0.25">
      <c r="E14" s="9" t="s">
        <v>39</v>
      </c>
      <c r="F14" s="9" t="s">
        <v>65</v>
      </c>
    </row>
    <row r="15" spans="2:6" x14ac:dyDescent="0.25">
      <c r="E15" s="12" t="s">
        <v>60</v>
      </c>
      <c r="F15" s="13">
        <f>COUNTIF('Журнал версий'!$K$3:$K$202,"Собрана")</f>
        <v>1</v>
      </c>
    </row>
    <row r="16" spans="2:6" x14ac:dyDescent="0.25">
      <c r="E16" s="12" t="s">
        <v>49</v>
      </c>
      <c r="F16" s="13">
        <f>COUNTIF('Журнал версий'!$K$3:$K$202,"Развёрнута")</f>
        <v>1</v>
      </c>
    </row>
    <row r="17" spans="5:6" x14ac:dyDescent="0.25">
      <c r="E17" s="12" t="s">
        <v>53</v>
      </c>
      <c r="F17" s="13">
        <f>COUNTIF('Журнал версий'!$K$3:$K$202,"Принята")</f>
        <v>1</v>
      </c>
    </row>
    <row r="18" spans="5:6" x14ac:dyDescent="0.25">
      <c r="E18" s="12" t="s">
        <v>74</v>
      </c>
      <c r="F18" s="13">
        <f>COUNTIF('Журнал версий'!$K$3:$K$202,"Отклонена")</f>
        <v>0</v>
      </c>
    </row>
    <row r="19" spans="5:6" x14ac:dyDescent="0.25">
      <c r="E19" s="12" t="s">
        <v>75</v>
      </c>
      <c r="F19" s="13">
        <f>COUNTIF('Журнал версий'!$K$3:$K$202,"Откачена")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showGridLines="0" zoomScaleNormal="100" workbookViewId="0"/>
  </sheetViews>
  <sheetFormatPr defaultColWidth="8.7109375" defaultRowHeight="15" x14ac:dyDescent="0.25"/>
  <cols>
    <col min="1" max="1" width="24" customWidth="1"/>
    <col min="2" max="2" width="22" customWidth="1"/>
    <col min="3" max="3" width="24" customWidth="1"/>
  </cols>
  <sheetData>
    <row r="1" spans="1:3" x14ac:dyDescent="0.25">
      <c r="A1" s="9" t="s">
        <v>37</v>
      </c>
      <c r="B1" s="9" t="s">
        <v>32</v>
      </c>
      <c r="C1" s="9" t="s">
        <v>39</v>
      </c>
    </row>
    <row r="2" spans="1:3" x14ac:dyDescent="0.25">
      <c r="A2" s="12" t="s">
        <v>67</v>
      </c>
      <c r="B2" s="12" t="s">
        <v>43</v>
      </c>
      <c r="C2" s="12" t="s">
        <v>60</v>
      </c>
    </row>
    <row r="3" spans="1:3" x14ac:dyDescent="0.25">
      <c r="A3" s="12" t="s">
        <v>48</v>
      </c>
      <c r="B3" s="12" t="s">
        <v>51</v>
      </c>
      <c r="C3" s="12" t="s">
        <v>49</v>
      </c>
    </row>
    <row r="4" spans="1:3" x14ac:dyDescent="0.25">
      <c r="A4" s="12" t="s">
        <v>59</v>
      </c>
      <c r="B4" s="12" t="s">
        <v>68</v>
      </c>
      <c r="C4" s="12" t="s">
        <v>53</v>
      </c>
    </row>
    <row r="5" spans="1:3" x14ac:dyDescent="0.25">
      <c r="A5" s="12" t="s">
        <v>69</v>
      </c>
      <c r="B5" s="12" t="s">
        <v>70</v>
      </c>
      <c r="C5" s="12" t="s">
        <v>74</v>
      </c>
    </row>
    <row r="6" spans="1:3" x14ac:dyDescent="0.25">
      <c r="B6" s="12" t="s">
        <v>72</v>
      </c>
      <c r="C6" s="12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6" customWidth="1"/>
    <col min="3" max="3" width="70" customWidth="1"/>
    <col min="4" max="4" width="24" customWidth="1"/>
  </cols>
  <sheetData>
    <row r="1" spans="1:4" ht="16.5" x14ac:dyDescent="0.25">
      <c r="A1" s="16" t="s">
        <v>76</v>
      </c>
    </row>
    <row r="2" spans="1:4" x14ac:dyDescent="0.25">
      <c r="A2" s="9" t="s">
        <v>30</v>
      </c>
      <c r="B2" s="9" t="s">
        <v>31</v>
      </c>
      <c r="C2" s="9" t="s">
        <v>35</v>
      </c>
      <c r="D2" s="9" t="s">
        <v>77</v>
      </c>
    </row>
    <row r="3" spans="1:4" x14ac:dyDescent="0.25">
      <c r="A3" s="17" t="s">
        <v>78</v>
      </c>
      <c r="B3" s="17" t="s">
        <v>79</v>
      </c>
      <c r="C3" s="17" t="s">
        <v>80</v>
      </c>
      <c r="D3" s="17" t="s">
        <v>81</v>
      </c>
    </row>
    <row r="4" spans="1:4" x14ac:dyDescent="0.25">
      <c r="A4" s="18"/>
      <c r="B4" s="18"/>
      <c r="C4" s="18"/>
      <c r="D4" s="18"/>
    </row>
    <row r="5" spans="1:4" x14ac:dyDescent="0.25">
      <c r="A5" s="18"/>
      <c r="B5" s="18"/>
      <c r="C5" s="18"/>
      <c r="D5" s="18"/>
    </row>
    <row r="6" spans="1:4" x14ac:dyDescent="0.25">
      <c r="A6" s="18"/>
      <c r="B6" s="18"/>
      <c r="C6" s="18"/>
      <c r="D6" s="18"/>
    </row>
    <row r="7" spans="1:4" x14ac:dyDescent="0.25">
      <c r="A7" s="18"/>
      <c r="B7" s="18"/>
      <c r="C7" s="18"/>
      <c r="D7" s="1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Журнал версий</vt:lpstr>
      <vt:lpstr>Сводка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Журнал версий конфигурации</dc:title>
  <dc:subject/>
  <dc:creator>Халилов Руслан Энверович, руководитель проектов, PMP (PMI)</dc:creator>
  <dc:description/>
  <cp:lastModifiedBy>Руслан Халилов</cp:lastModifiedBy>
  <cp:revision>0</cp:revision>
  <dcterms:created xsi:type="dcterms:W3CDTF">2026-06-21T13:13:37Z</dcterms:created>
  <dcterms:modified xsi:type="dcterms:W3CDTF">2026-06-21T17:14:01Z</dcterms:modified>
  <dc:language>en-US</dc:language>
</cp:coreProperties>
</file>