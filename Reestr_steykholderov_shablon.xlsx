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YandexDisk\Проектное управление (шаблоны документов)\"/>
    </mc:Choice>
  </mc:AlternateContent>
  <xr:revisionPtr revIDLastSave="0" documentId="8_{1AFC9742-F287-48BB-B3F3-6D09E98622F5}" xr6:coauthVersionLast="47" xr6:coauthVersionMax="47" xr10:uidLastSave="{00000000-0000-0000-0000-000000000000}"/>
  <bookViews>
    <workbookView xWindow="-120" yWindow="-120" windowWidth="51840" windowHeight="21120" tabRatio="500" xr2:uid="{00000000-000D-0000-FFFF-FFFF00000000}"/>
  </bookViews>
  <sheets>
    <sheet name="Инструкция" sheetId="1" r:id="rId1"/>
    <sheet name="Реестр" sheetId="2" r:id="rId2"/>
    <sheet name="Матрица влияние-интерес" sheetId="3" r:id="rId3"/>
    <sheet name="Справочники" sheetId="4" r:id="rId4"/>
    <sheet name="Журнал изменений" sheetId="5" r:id="rId5"/>
  </sheets>
  <definedNames>
    <definedName name="_xlnm._FilterDatabase" localSheetId="1" hidden="1">Реестр!$A$2:$T$122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7" i="3" l="1"/>
  <c r="E9" i="3"/>
  <c r="D9" i="3"/>
  <c r="C9" i="3"/>
  <c r="E8" i="3"/>
  <c r="D8" i="3"/>
  <c r="C8" i="3"/>
  <c r="E7" i="3"/>
  <c r="D7" i="3"/>
  <c r="C7" i="3"/>
  <c r="P122" i="2"/>
  <c r="P121" i="2"/>
  <c r="P120" i="2"/>
  <c r="P119" i="2"/>
  <c r="P118" i="2"/>
  <c r="P117" i="2"/>
  <c r="P116" i="2"/>
  <c r="P115" i="2"/>
  <c r="P114" i="2"/>
  <c r="P113" i="2"/>
  <c r="P112" i="2"/>
  <c r="P111" i="2"/>
  <c r="P110" i="2"/>
  <c r="P109" i="2"/>
  <c r="P108" i="2"/>
  <c r="P107" i="2"/>
  <c r="P106" i="2"/>
  <c r="P105" i="2"/>
  <c r="P104" i="2"/>
  <c r="P103" i="2"/>
  <c r="P102" i="2"/>
  <c r="P101" i="2"/>
  <c r="P100" i="2"/>
  <c r="P99" i="2"/>
  <c r="P98" i="2"/>
  <c r="P97" i="2"/>
  <c r="P96" i="2"/>
  <c r="P95" i="2"/>
  <c r="P94" i="2"/>
  <c r="P93" i="2"/>
  <c r="P92" i="2"/>
  <c r="P91" i="2"/>
  <c r="P90" i="2"/>
  <c r="P89" i="2"/>
  <c r="P88" i="2"/>
  <c r="P87" i="2"/>
  <c r="P86" i="2"/>
  <c r="P85" i="2"/>
  <c r="P84" i="2"/>
  <c r="P83" i="2"/>
  <c r="P82" i="2"/>
  <c r="P81" i="2"/>
  <c r="P80" i="2"/>
  <c r="P79" i="2"/>
  <c r="P78" i="2"/>
  <c r="P77" i="2"/>
  <c r="P76" i="2"/>
  <c r="P75" i="2"/>
  <c r="P74" i="2"/>
  <c r="P73" i="2"/>
  <c r="P72" i="2"/>
  <c r="P71" i="2"/>
  <c r="P70" i="2"/>
  <c r="P69" i="2"/>
  <c r="P68" i="2"/>
  <c r="P67" i="2"/>
  <c r="P66" i="2"/>
  <c r="P65" i="2"/>
  <c r="P64" i="2"/>
  <c r="P63" i="2"/>
  <c r="P62" i="2"/>
  <c r="P61" i="2"/>
  <c r="P60" i="2"/>
  <c r="P59" i="2"/>
  <c r="P58" i="2"/>
  <c r="P57" i="2"/>
  <c r="P56" i="2"/>
  <c r="P55" i="2"/>
  <c r="P54" i="2"/>
  <c r="P53" i="2"/>
  <c r="P52" i="2"/>
  <c r="P51" i="2"/>
  <c r="P50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4" i="2"/>
  <c r="P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N2" authorId="0" shapeId="0" xr:uid="{00000000-0006-0000-0100-000001000000}">
      <text>
        <r>
          <rPr>
            <sz val="10"/>
            <rFont val="Arial"/>
            <family val="2"/>
          </rPr>
          <t>Шкала: Не осведомлён&lt;Сопротивляется&lt;Нейтрален&lt;Поддерживает&lt;Ведущий</t>
        </r>
      </text>
    </comment>
    <comment ref="P2" authorId="0" shapeId="0" xr:uid="{00000000-0006-0000-0100-000002000000}">
      <text>
        <r>
          <rPr>
            <sz val="10"/>
            <rFont val="Arial"/>
            <family val="2"/>
          </rPr>
          <t>Авторасчёт: «↑ план» — желаемый уровень выше текущего, нужна активная стратегия. «ОК» — разрыва нет.</t>
        </r>
      </text>
    </comment>
  </commentList>
</comments>
</file>

<file path=xl/sharedStrings.xml><?xml version="1.0" encoding="utf-8"?>
<sst xmlns="http://schemas.openxmlformats.org/spreadsheetml/2006/main" count="220" uniqueCount="147">
  <si>
    <t>РЕЕСТР ЗАИНТЕРЕСОВАННЫХ СТОРОН (СТЕЙКХОЛДЕРОВ)</t>
  </si>
  <si>
    <t>Stakeholder Register — разработан на основе PMBOK Guide (8th edition)</t>
  </si>
  <si>
    <t>Проект:</t>
  </si>
  <si>
    <t>[Наименование проекта]</t>
  </si>
  <si>
    <t>Заказчик:</t>
  </si>
  <si>
    <t>[Компания-Заказчик]</t>
  </si>
  <si>
    <t>Версия документа:</t>
  </si>
  <si>
    <t>[0.1]</t>
  </si>
  <si>
    <t>Дата:</t>
  </si>
  <si>
    <t>[ДД.ММ.ГГГГ]</t>
  </si>
  <si>
    <t>Владелец документа:</t>
  </si>
  <si>
    <t>[Руководитель проекта]</t>
  </si>
  <si>
    <t>Назначение</t>
  </si>
  <si>
    <t>Реестр служит для идентификации, классификации и оценки заинтересованных сторон, а также для планирования работы с ними. Это «живой» документ: он ведётся и актуализируется на протяжении всего проекта. Стратегии вовлечения детализируются в Плане вовлечения стейкхолдеров.</t>
  </si>
  <si>
    <t>Состав листов</t>
  </si>
  <si>
    <t>Реестр</t>
  </si>
  <si>
    <t>Основной реестр стейкхолдеров. Заполняйте по одной строке на стейкхолдера/роль.</t>
  </si>
  <si>
    <t>Матрица влияние-интерес</t>
  </si>
  <si>
    <t>Сводка распределения стейкхолдеров по квадрантам (считается автоматически).</t>
  </si>
  <si>
    <t>Справочники</t>
  </si>
  <si>
    <t>Списки значений для выпадающих полей. При необходимости расширяйте.</t>
  </si>
  <si>
    <t>Журнал изменений</t>
  </si>
  <si>
    <t>Регистрация версий документа.</t>
  </si>
  <si>
    <t>Как заполнять</t>
  </si>
  <si>
    <t>•  Поля, выделенные синим, — плейсхолдеры; замените их реальными данными.</t>
  </si>
  <si>
    <t>•  Поля с выпадающими списками выбирайте из предложенных значений (источник — лист «Справочники»).</t>
  </si>
  <si>
    <t>•  «Уровень вовлечения (тек.)» и «(желаемый)» — по шкале PMBOK: Не осведомлён / Сопротивляется / Нейтрален / Поддерживает / Ведущий.</t>
  </si>
  <si>
    <t>•  Если желаемый уровень выше текущего — по стейкхолдеру нужна активная стратегия вовлечения (столбец «Разрыв» подсветит это).</t>
  </si>
  <si>
    <t>•  Приоритет стейкхолдера определяется сочетанием влияния и интереса (см. лист «Матрица влияние-интерес»).</t>
  </si>
  <si>
    <t>•  Для масштаба 100–500 стейкхолдеров используйте фильтры по столбцам «Группа», «Юрлицо/Подразделение», «Внутр./Внешн.».</t>
  </si>
  <si>
    <t>Конфиденциально. Документ содержит персональные данные — обращение в соответствии с политикой обработки ПДн организации.</t>
  </si>
  <si>
    <t>Реестр заинтересованных сторон</t>
  </si>
  <si>
    <t>ID</t>
  </si>
  <si>
    <t>ФИО / Наименование</t>
  </si>
  <si>
    <t>Должность / Роль</t>
  </si>
  <si>
    <t>Группа</t>
  </si>
  <si>
    <t>Юрлицо / Подразделение</t>
  </si>
  <si>
    <t>Внутр./Внешн.</t>
  </si>
  <si>
    <t>Контакты</t>
  </si>
  <si>
    <t>Роль в проекте</t>
  </si>
  <si>
    <t>Ожидания / Интересы</t>
  </si>
  <si>
    <t>Влияние</t>
  </si>
  <si>
    <t>Интерес</t>
  </si>
  <si>
    <t>Приоритет</t>
  </si>
  <si>
    <t>Отношение</t>
  </si>
  <si>
    <t>Вовлечение (тек.)</t>
  </si>
  <si>
    <t>Вовлечение (желаемое)</t>
  </si>
  <si>
    <t>Разрыв</t>
  </si>
  <si>
    <t>Стратегия вовлечения</t>
  </si>
  <si>
    <t>Ответственный (owner)</t>
  </si>
  <si>
    <t>Статус</t>
  </si>
  <si>
    <t>Обновлено</t>
  </si>
  <si>
    <t>SH-001</t>
  </si>
  <si>
    <t>[ФИО]</t>
  </si>
  <si>
    <t>Генеральный директор</t>
  </si>
  <si>
    <t>Топ-менеджмент холдинга</t>
  </si>
  <si>
    <t>[УК холдинга]</t>
  </si>
  <si>
    <t>Внутренний</t>
  </si>
  <si>
    <t>[email/тел]</t>
  </si>
  <si>
    <t>Спонсор проекта</t>
  </si>
  <si>
    <t>Управляемость, консолидированная отчётность</t>
  </si>
  <si>
    <t>Высокое</t>
  </si>
  <si>
    <t>Высокий</t>
  </si>
  <si>
    <t>Ключевой</t>
  </si>
  <si>
    <t>Сторонник</t>
  </si>
  <si>
    <t>Поддерживает</t>
  </si>
  <si>
    <t>Ведущий</t>
  </si>
  <si>
    <t>Регулярные брифинги, вовлечение в УК</t>
  </si>
  <si>
    <t>[РП]</t>
  </si>
  <si>
    <t>Активен</t>
  </si>
  <si>
    <t>ДД.ММ.ГГГГ</t>
  </si>
  <si>
    <t>SH-002</t>
  </si>
  <si>
    <t>Финансовый директор</t>
  </si>
  <si>
    <t>Финансовая служба</t>
  </si>
  <si>
    <t>[Управляющая компания]</t>
  </si>
  <si>
    <t>Куратор / владелец процессов финучёта</t>
  </si>
  <si>
    <t>Корректность учёта, сроки закрытия</t>
  </si>
  <si>
    <t>Нейтральное</t>
  </si>
  <si>
    <t>Нейтрален</t>
  </si>
  <si>
    <t>Демонстрации, вовлечение в проектирование</t>
  </si>
  <si>
    <t>SH-003</t>
  </si>
  <si>
    <t>Директор по производству</t>
  </si>
  <si>
    <t>Производство</t>
  </si>
  <si>
    <t>[Завод №1]</t>
  </si>
  <si>
    <t>Владелец бизнес-процессов производства</t>
  </si>
  <si>
    <t>Планирование, учёт себестоимости</t>
  </si>
  <si>
    <t>Средний</t>
  </si>
  <si>
    <t>Сопротивление</t>
  </si>
  <si>
    <t>Сопротивляется</t>
  </si>
  <si>
    <t>Работа с возражениями, пилот на участке</t>
  </si>
  <si>
    <t>[Руководитель РГ]</t>
  </si>
  <si>
    <t>SH-004</t>
  </si>
  <si>
    <t>[Наименование]</t>
  </si>
  <si>
    <t>Владелец смежной системы (MES)</t>
  </si>
  <si>
    <t>Владельцы смежных систем</t>
  </si>
  <si>
    <t>Поставщик данных для интеграции</t>
  </si>
  <si>
    <t>Стабильность интеграции</t>
  </si>
  <si>
    <t>Среднее</t>
  </si>
  <si>
    <t>Не осведомлён</t>
  </si>
  <si>
    <t>Раннее согласование ЧТЗ на интеграцию</t>
  </si>
  <si>
    <t>[Архитектор]</t>
  </si>
  <si>
    <t>SH-005</t>
  </si>
  <si>
    <t>[Наименование вендора]</t>
  </si>
  <si>
    <t>Команда интегратора</t>
  </si>
  <si>
    <t>Внешние (вендор/интегратор)</t>
  </si>
  <si>
    <t>[Исполнитель]</t>
  </si>
  <si>
    <t>Внешний</t>
  </si>
  <si>
    <t>Исполнитель работ</t>
  </si>
  <si>
    <t>Исполнение в срок и бюджет</t>
  </si>
  <si>
    <t>Договорные KPI, статус-встречи</t>
  </si>
  <si>
    <t>[РП Исполнителя]</t>
  </si>
  <si>
    <t>Матрица «Влияние / Интерес»</t>
  </si>
  <si>
    <t>Распределение стейкхолдеров по квадрантам (по данным листа «Реестр»). Стратегия — по Менделоу.</t>
  </si>
  <si>
    <t>Интерес →</t>
  </si>
  <si>
    <t>Влияние ↓</t>
  </si>
  <si>
    <t>Низкий</t>
  </si>
  <si>
    <t>Низкое</t>
  </si>
  <si>
    <t>Стратегии по квадрантам (модель Менделоу):</t>
  </si>
  <si>
    <t>Высокое влияние + Высокий интерес</t>
  </si>
  <si>
    <t>Управлять плотно (Manage closely)</t>
  </si>
  <si>
    <t>Высокое влияние + Низкий интерес</t>
  </si>
  <si>
    <t>Удовлетворять (Keep satisfied)</t>
  </si>
  <si>
    <t>Низкое влияние + Высокий интерес</t>
  </si>
  <si>
    <t>Информировать (Keep informed)</t>
  </si>
  <si>
    <t>Низкое влияние + Низкий интерес</t>
  </si>
  <si>
    <t>Мониторить (Monitor)</t>
  </si>
  <si>
    <t>Всего стейкхолдеров в реестре:</t>
  </si>
  <si>
    <t>Группа стейкхолдеров</t>
  </si>
  <si>
    <t>Уровень вовлечения</t>
  </si>
  <si>
    <t>Под наблюдением</t>
  </si>
  <si>
    <t>Неактивен</t>
  </si>
  <si>
    <t>Закупки и логистика</t>
  </si>
  <si>
    <t>Неизвестно</t>
  </si>
  <si>
    <t>Продажи</t>
  </si>
  <si>
    <t>ИТ-служба</t>
  </si>
  <si>
    <t>HR / Кадры</t>
  </si>
  <si>
    <t>Юридическая служба</t>
  </si>
  <si>
    <t>Конечные пользователи</t>
  </si>
  <si>
    <t>Регуляторы / Аудит</t>
  </si>
  <si>
    <t>Журнал изменений документа</t>
  </si>
  <si>
    <t>Версия</t>
  </si>
  <si>
    <t>Дата</t>
  </si>
  <si>
    <t>Описание изменений</t>
  </si>
  <si>
    <t>Автор</t>
  </si>
  <si>
    <t>0.1</t>
  </si>
  <si>
    <t>Создание документа</t>
  </si>
  <si>
    <t>ФИО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</si>
</sst>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</font>
    <font>
      <b/>
      <sz val="16"/>
      <color rgb="FF1F4E79"/>
      <name val="Arial"/>
      <charset val="1"/>
    </font>
    <font>
      <i/>
      <sz val="10"/>
      <color rgb="FF808080"/>
      <name val="Arial"/>
      <charset val="1"/>
    </font>
    <font>
      <b/>
      <sz val="10"/>
      <name val="Arial"/>
      <charset val="1"/>
    </font>
    <font>
      <sz val="10"/>
      <color rgb="FF2E75B6"/>
      <name val="Arial"/>
      <charset val="1"/>
    </font>
    <font>
      <b/>
      <sz val="12"/>
      <color rgb="FF2E75B6"/>
      <name val="Arial"/>
      <charset val="1"/>
    </font>
    <font>
      <sz val="10"/>
      <name val="Arial"/>
      <charset val="1"/>
    </font>
    <font>
      <i/>
      <sz val="9"/>
      <color rgb="FF808080"/>
      <name val="Arial"/>
      <charset val="1"/>
    </font>
    <font>
      <b/>
      <sz val="14"/>
      <color rgb="FF1F4E79"/>
      <name val="Arial"/>
      <charset val="1"/>
    </font>
    <font>
      <b/>
      <sz val="10"/>
      <color rgb="FFFFFFFF"/>
      <name val="Arial"/>
      <charset val="1"/>
    </font>
    <font>
      <i/>
      <sz val="10"/>
      <color rgb="FF2E75B6"/>
      <name val="Arial"/>
      <charset val="1"/>
    </font>
    <font>
      <sz val="10"/>
      <name val="Arial"/>
      <family val="2"/>
    </font>
    <font>
      <b/>
      <sz val="10"/>
      <color rgb="FF2E75B6"/>
      <name val="Arial"/>
      <charset val="1"/>
    </font>
    <font>
      <b/>
      <sz val="12"/>
      <name val="Arial"/>
      <charset val="1"/>
    </font>
    <font>
      <b/>
      <sz val="11"/>
      <color rgb="FF2E75B6"/>
      <name val="Arial"/>
      <charset val="1"/>
    </font>
    <font>
      <b/>
      <sz val="10"/>
      <color rgb="FF1F4E79"/>
      <name val="Arial"/>
      <charset val="1"/>
    </font>
    <font>
      <b/>
      <sz val="13"/>
      <color rgb="FF1F4E79"/>
      <name val="Arial"/>
      <charset val="1"/>
    </font>
    <font>
      <sz val="10"/>
      <color rgb="FF00000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CE5CD"/>
        <bgColor rgb="FFD9EAD3"/>
      </patternFill>
    </fill>
    <fill>
      <patternFill patternType="solid">
        <fgColor rgb="FFF4CCCC"/>
        <bgColor rgb="FFFCE5CD"/>
      </patternFill>
    </fill>
    <fill>
      <patternFill patternType="solid">
        <fgColor rgb="FFD9EAD3"/>
        <bgColor rgb="FFFCE5C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/>
    <xf numFmtId="0" fontId="8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vertical="top" wrapText="1"/>
    </xf>
    <xf numFmtId="0" fontId="12" fillId="0" borderId="0" xfId="0" applyFont="1"/>
    <xf numFmtId="0" fontId="9" fillId="2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4" fillId="0" borderId="0" xfId="0" applyFont="1"/>
    <xf numFmtId="0" fontId="6" fillId="0" borderId="0" xfId="0" applyFont="1"/>
    <xf numFmtId="0" fontId="15" fillId="0" borderId="0" xfId="0" applyFont="1"/>
    <xf numFmtId="0" fontId="6" fillId="0" borderId="1" xfId="0" applyFont="1" applyBorder="1"/>
    <xf numFmtId="0" fontId="16" fillId="0" borderId="0" xfId="0" applyFont="1"/>
    <xf numFmtId="0" fontId="10" fillId="0" borderId="1" xfId="0" applyFont="1" applyBorder="1"/>
    <xf numFmtId="0" fontId="17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5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8"/>
  <sheetViews>
    <sheetView showGridLines="0" tabSelected="1" zoomScaleNormal="100" workbookViewId="0">
      <selection activeCell="C16" sqref="C16"/>
    </sheetView>
  </sheetViews>
  <sheetFormatPr defaultColWidth="8.7109375" defaultRowHeight="15" x14ac:dyDescent="0.25"/>
  <cols>
    <col min="1" max="1" width="3" customWidth="1"/>
    <col min="2" max="2" width="30" customWidth="1"/>
    <col min="3" max="3" width="95" customWidth="1"/>
  </cols>
  <sheetData>
    <row r="2" spans="2:3" ht="20.25" x14ac:dyDescent="0.3">
      <c r="B2" s="1" t="s">
        <v>0</v>
      </c>
    </row>
    <row r="3" spans="2:3" x14ac:dyDescent="0.25">
      <c r="B3" s="2" t="s">
        <v>1</v>
      </c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1" spans="2:3" ht="15.75" x14ac:dyDescent="0.25">
      <c r="B11" s="5" t="s">
        <v>12</v>
      </c>
    </row>
    <row r="12" spans="2:3" ht="49.5" customHeight="1" x14ac:dyDescent="0.25">
      <c r="C12" s="6" t="s">
        <v>13</v>
      </c>
    </row>
    <row r="14" spans="2:3" ht="15.75" x14ac:dyDescent="0.25">
      <c r="B14" s="5" t="s">
        <v>14</v>
      </c>
    </row>
    <row r="15" spans="2:3" x14ac:dyDescent="0.25">
      <c r="B15" s="3" t="s">
        <v>15</v>
      </c>
      <c r="C15" s="7" t="s">
        <v>16</v>
      </c>
    </row>
    <row r="16" spans="2:3" x14ac:dyDescent="0.25">
      <c r="B16" s="3" t="s">
        <v>17</v>
      </c>
      <c r="C16" s="7" t="s">
        <v>18</v>
      </c>
    </row>
    <row r="17" spans="2:3" x14ac:dyDescent="0.25">
      <c r="B17" s="3" t="s">
        <v>19</v>
      </c>
      <c r="C17" s="7" t="s">
        <v>20</v>
      </c>
    </row>
    <row r="18" spans="2:3" x14ac:dyDescent="0.25">
      <c r="B18" s="3" t="s">
        <v>21</v>
      </c>
      <c r="C18" s="7" t="s">
        <v>22</v>
      </c>
    </row>
    <row r="20" spans="2:3" ht="15.75" x14ac:dyDescent="0.25">
      <c r="B20" s="5" t="s">
        <v>23</v>
      </c>
    </row>
    <row r="21" spans="2:3" ht="27.75" customHeight="1" x14ac:dyDescent="0.25">
      <c r="C21" s="7" t="s">
        <v>24</v>
      </c>
    </row>
    <row r="22" spans="2:3" ht="27.75" customHeight="1" x14ac:dyDescent="0.25">
      <c r="C22" s="7" t="s">
        <v>25</v>
      </c>
    </row>
    <row r="23" spans="2:3" ht="27.75" customHeight="1" x14ac:dyDescent="0.25">
      <c r="C23" s="7" t="s">
        <v>26</v>
      </c>
    </row>
    <row r="24" spans="2:3" ht="27.75" customHeight="1" x14ac:dyDescent="0.25">
      <c r="C24" s="7" t="s">
        <v>27</v>
      </c>
    </row>
    <row r="25" spans="2:3" ht="27.75" customHeight="1" x14ac:dyDescent="0.25">
      <c r="C25" s="7" t="s">
        <v>28</v>
      </c>
    </row>
    <row r="26" spans="2:3" ht="27.75" customHeight="1" x14ac:dyDescent="0.25">
      <c r="C26" s="7" t="s">
        <v>29</v>
      </c>
    </row>
    <row r="28" spans="2:3" x14ac:dyDescent="0.25">
      <c r="C28" s="8" t="s">
        <v>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22"/>
  <sheetViews>
    <sheetView showGridLines="0" zoomScaleNormal="100" workbookViewId="0">
      <pane ySplit="2" topLeftCell="A3" activePane="bottomLeft" state="frozen"/>
      <selection pane="bottomLeft" activeCell="Q19" sqref="Q19"/>
    </sheetView>
  </sheetViews>
  <sheetFormatPr defaultColWidth="8.7109375" defaultRowHeight="15" x14ac:dyDescent="0.25"/>
  <cols>
    <col min="1" max="1" width="7" customWidth="1"/>
    <col min="2" max="2" width="26" customWidth="1"/>
    <col min="3" max="3" width="24" customWidth="1"/>
    <col min="4" max="4" width="22" customWidth="1"/>
    <col min="5" max="5" width="24" customWidth="1"/>
    <col min="6" max="6" width="13" customWidth="1"/>
    <col min="7" max="7" width="22" customWidth="1"/>
    <col min="8" max="8" width="24" customWidth="1"/>
    <col min="9" max="9" width="30" customWidth="1"/>
    <col min="10" max="11" width="11" customWidth="1"/>
    <col min="12" max="12" width="13" customWidth="1"/>
    <col min="13" max="13" width="17.85546875" customWidth="1"/>
    <col min="14" max="14" width="22.7109375" customWidth="1"/>
    <col min="15" max="15" width="16" customWidth="1"/>
    <col min="16" max="16" width="10" customWidth="1"/>
    <col min="17" max="17" width="34" customWidth="1"/>
    <col min="18" max="18" width="20" customWidth="1"/>
    <col min="19" max="19" width="14" customWidth="1"/>
    <col min="20" max="20" width="13" customWidth="1"/>
  </cols>
  <sheetData>
    <row r="1" spans="1:20" ht="18" x14ac:dyDescent="0.25">
      <c r="A1" s="9" t="s">
        <v>31</v>
      </c>
    </row>
    <row r="2" spans="1:20" ht="33.75" customHeight="1" x14ac:dyDescent="0.25">
      <c r="A2" s="10" t="s">
        <v>32</v>
      </c>
      <c r="B2" s="10" t="s">
        <v>33</v>
      </c>
      <c r="C2" s="10" t="s">
        <v>34</v>
      </c>
      <c r="D2" s="10" t="s">
        <v>35</v>
      </c>
      <c r="E2" s="10" t="s">
        <v>36</v>
      </c>
      <c r="F2" s="10" t="s">
        <v>37</v>
      </c>
      <c r="G2" s="10" t="s">
        <v>38</v>
      </c>
      <c r="H2" s="10" t="s">
        <v>39</v>
      </c>
      <c r="I2" s="10" t="s">
        <v>40</v>
      </c>
      <c r="J2" s="10" t="s">
        <v>41</v>
      </c>
      <c r="K2" s="10" t="s">
        <v>42</v>
      </c>
      <c r="L2" s="10" t="s">
        <v>43</v>
      </c>
      <c r="M2" s="10" t="s">
        <v>44</v>
      </c>
      <c r="N2" s="10" t="s">
        <v>45</v>
      </c>
      <c r="O2" s="10" t="s">
        <v>46</v>
      </c>
      <c r="P2" s="10" t="s">
        <v>47</v>
      </c>
      <c r="Q2" s="10" t="s">
        <v>48</v>
      </c>
      <c r="R2" s="10" t="s">
        <v>49</v>
      </c>
      <c r="S2" s="10" t="s">
        <v>50</v>
      </c>
      <c r="T2" s="10" t="s">
        <v>51</v>
      </c>
    </row>
    <row r="3" spans="1:20" ht="38.25" x14ac:dyDescent="0.25">
      <c r="A3" s="11" t="s">
        <v>52</v>
      </c>
      <c r="B3" s="11" t="s">
        <v>53</v>
      </c>
      <c r="C3" s="11" t="s">
        <v>54</v>
      </c>
      <c r="D3" s="11" t="s">
        <v>55</v>
      </c>
      <c r="E3" s="11" t="s">
        <v>56</v>
      </c>
      <c r="F3" s="11" t="s">
        <v>57</v>
      </c>
      <c r="G3" s="11" t="s">
        <v>58</v>
      </c>
      <c r="H3" s="11" t="s">
        <v>59</v>
      </c>
      <c r="I3" s="11" t="s">
        <v>60</v>
      </c>
      <c r="J3" s="11" t="s">
        <v>61</v>
      </c>
      <c r="K3" s="11" t="s">
        <v>62</v>
      </c>
      <c r="L3" s="11" t="s">
        <v>63</v>
      </c>
      <c r="M3" s="11" t="s">
        <v>64</v>
      </c>
      <c r="N3" s="11" t="s">
        <v>65</v>
      </c>
      <c r="O3" s="11" t="s">
        <v>66</v>
      </c>
      <c r="P3" s="12" t="str">
        <f>IF(OR(N3="",O3=""),"",IF(MATCH(O3,Справочники!$F$2:$F$6,0)&gt;MATCH(N3,Справочники!$F$2:$F$6,0),"↑ план","ОК"))</f>
        <v>↑ план</v>
      </c>
      <c r="Q3" s="11" t="s">
        <v>67</v>
      </c>
      <c r="R3" s="11" t="s">
        <v>68</v>
      </c>
      <c r="S3" s="11" t="s">
        <v>69</v>
      </c>
      <c r="T3" s="11" t="s">
        <v>70</v>
      </c>
    </row>
    <row r="4" spans="1:20" ht="25.5" x14ac:dyDescent="0.25">
      <c r="A4" s="11" t="s">
        <v>71</v>
      </c>
      <c r="B4" s="11" t="s">
        <v>53</v>
      </c>
      <c r="C4" s="11" t="s">
        <v>72</v>
      </c>
      <c r="D4" s="11" t="s">
        <v>73</v>
      </c>
      <c r="E4" s="11" t="s">
        <v>74</v>
      </c>
      <c r="F4" s="11" t="s">
        <v>57</v>
      </c>
      <c r="G4" s="11" t="s">
        <v>58</v>
      </c>
      <c r="H4" s="11" t="s">
        <v>75</v>
      </c>
      <c r="I4" s="11" t="s">
        <v>76</v>
      </c>
      <c r="J4" s="11" t="s">
        <v>61</v>
      </c>
      <c r="K4" s="11" t="s">
        <v>62</v>
      </c>
      <c r="L4" s="11" t="s">
        <v>63</v>
      </c>
      <c r="M4" s="11" t="s">
        <v>77</v>
      </c>
      <c r="N4" s="11" t="s">
        <v>78</v>
      </c>
      <c r="O4" s="11" t="s">
        <v>65</v>
      </c>
      <c r="P4" s="12" t="str">
        <f>IF(OR(N4="",O4=""),"",IF(MATCH(O4,Справочники!$F$2:$F$6,0)&gt;MATCH(N4,Справочники!$F$2:$F$6,0),"↑ план","ОК"))</f>
        <v>↑ план</v>
      </c>
      <c r="Q4" s="11" t="s">
        <v>79</v>
      </c>
      <c r="R4" s="11" t="s">
        <v>68</v>
      </c>
      <c r="S4" s="11" t="s">
        <v>69</v>
      </c>
      <c r="T4" s="11" t="s">
        <v>70</v>
      </c>
    </row>
    <row r="5" spans="1:20" ht="25.5" x14ac:dyDescent="0.25">
      <c r="A5" s="11" t="s">
        <v>80</v>
      </c>
      <c r="B5" s="11" t="s">
        <v>53</v>
      </c>
      <c r="C5" s="11" t="s">
        <v>81</v>
      </c>
      <c r="D5" s="11" t="s">
        <v>82</v>
      </c>
      <c r="E5" s="11" t="s">
        <v>83</v>
      </c>
      <c r="F5" s="11" t="s">
        <v>57</v>
      </c>
      <c r="G5" s="11" t="s">
        <v>58</v>
      </c>
      <c r="H5" s="11" t="s">
        <v>84</v>
      </c>
      <c r="I5" s="11" t="s">
        <v>85</v>
      </c>
      <c r="J5" s="11" t="s">
        <v>61</v>
      </c>
      <c r="K5" s="11" t="s">
        <v>86</v>
      </c>
      <c r="L5" s="11" t="s">
        <v>62</v>
      </c>
      <c r="M5" s="11" t="s">
        <v>87</v>
      </c>
      <c r="N5" s="11" t="s">
        <v>88</v>
      </c>
      <c r="O5" s="11" t="s">
        <v>65</v>
      </c>
      <c r="P5" s="12" t="str">
        <f>IF(OR(N5="",O5=""),"",IF(MATCH(O5,Справочники!$F$2:$F$6,0)&gt;MATCH(N5,Справочники!$F$2:$F$6,0),"↑ план","ОК"))</f>
        <v>↑ план</v>
      </c>
      <c r="Q5" s="11" t="s">
        <v>89</v>
      </c>
      <c r="R5" s="11" t="s">
        <v>90</v>
      </c>
      <c r="S5" s="11" t="s">
        <v>69</v>
      </c>
      <c r="T5" s="11" t="s">
        <v>70</v>
      </c>
    </row>
    <row r="6" spans="1:20" ht="25.5" x14ac:dyDescent="0.25">
      <c r="A6" s="11" t="s">
        <v>91</v>
      </c>
      <c r="B6" s="11" t="s">
        <v>92</v>
      </c>
      <c r="C6" s="11" t="s">
        <v>93</v>
      </c>
      <c r="D6" s="11" t="s">
        <v>94</v>
      </c>
      <c r="E6" s="11" t="s">
        <v>83</v>
      </c>
      <c r="F6" s="11" t="s">
        <v>57</v>
      </c>
      <c r="G6" s="11" t="s">
        <v>58</v>
      </c>
      <c r="H6" s="11" t="s">
        <v>95</v>
      </c>
      <c r="I6" s="11" t="s">
        <v>96</v>
      </c>
      <c r="J6" s="11" t="s">
        <v>97</v>
      </c>
      <c r="K6" s="11" t="s">
        <v>86</v>
      </c>
      <c r="L6" s="11" t="s">
        <v>86</v>
      </c>
      <c r="M6" s="11" t="s">
        <v>77</v>
      </c>
      <c r="N6" s="11" t="s">
        <v>98</v>
      </c>
      <c r="O6" s="11" t="s">
        <v>65</v>
      </c>
      <c r="P6" s="12" t="str">
        <f>IF(OR(N6="",O6=""),"",IF(MATCH(O6,Справочники!$F$2:$F$6,0)&gt;MATCH(N6,Справочники!$F$2:$F$6,0),"↑ план","ОК"))</f>
        <v>↑ план</v>
      </c>
      <c r="Q6" s="11" t="s">
        <v>99</v>
      </c>
      <c r="R6" s="11" t="s">
        <v>100</v>
      </c>
      <c r="S6" s="11" t="s">
        <v>69</v>
      </c>
      <c r="T6" s="11" t="s">
        <v>70</v>
      </c>
    </row>
    <row r="7" spans="1:20" ht="25.5" x14ac:dyDescent="0.25">
      <c r="A7" s="11" t="s">
        <v>101</v>
      </c>
      <c r="B7" s="11" t="s">
        <v>102</v>
      </c>
      <c r="C7" s="11" t="s">
        <v>103</v>
      </c>
      <c r="D7" s="11" t="s">
        <v>104</v>
      </c>
      <c r="E7" s="11" t="s">
        <v>105</v>
      </c>
      <c r="F7" s="11" t="s">
        <v>106</v>
      </c>
      <c r="G7" s="11" t="s">
        <v>58</v>
      </c>
      <c r="H7" s="11" t="s">
        <v>107</v>
      </c>
      <c r="I7" s="11" t="s">
        <v>108</v>
      </c>
      <c r="J7" s="11" t="s">
        <v>61</v>
      </c>
      <c r="K7" s="11" t="s">
        <v>62</v>
      </c>
      <c r="L7" s="11" t="s">
        <v>62</v>
      </c>
      <c r="M7" s="11" t="s">
        <v>64</v>
      </c>
      <c r="N7" s="11" t="s">
        <v>65</v>
      </c>
      <c r="O7" s="11" t="s">
        <v>66</v>
      </c>
      <c r="P7" s="12" t="str">
        <f>IF(OR(N7="",O7=""),"",IF(MATCH(O7,Справочники!$F$2:$F$6,0)&gt;MATCH(N7,Справочники!$F$2:$F$6,0),"↑ план","ОК"))</f>
        <v>↑ план</v>
      </c>
      <c r="Q7" s="11" t="s">
        <v>109</v>
      </c>
      <c r="R7" s="11" t="s">
        <v>110</v>
      </c>
      <c r="S7" s="11" t="s">
        <v>69</v>
      </c>
      <c r="T7" s="11" t="s">
        <v>70</v>
      </c>
    </row>
    <row r="8" spans="1:20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2" t="str">
        <f>IF(OR(N8="",O8=""),"",IF(MATCH(O8,Справочники!$F$2:$F$6,0)&gt;MATCH(N8,Справочники!$F$2:$F$6,0),"↑ план","ОК"))</f>
        <v/>
      </c>
      <c r="Q8" s="13"/>
      <c r="R8" s="13"/>
      <c r="S8" s="13"/>
      <c r="T8" s="13"/>
    </row>
    <row r="9" spans="1:20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2" t="str">
        <f>IF(OR(N9="",O9=""),"",IF(MATCH(O9,Справочники!$F$2:$F$6,0)&gt;MATCH(N9,Справочники!$F$2:$F$6,0),"↑ план","ОК"))</f>
        <v/>
      </c>
      <c r="Q9" s="13"/>
      <c r="R9" s="13"/>
      <c r="S9" s="13"/>
      <c r="T9" s="13"/>
    </row>
    <row r="10" spans="1:20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2" t="str">
        <f>IF(OR(N10="",O10=""),"",IF(MATCH(O10,Справочники!$F$2:$F$6,0)&gt;MATCH(N10,Справочники!$F$2:$F$6,0),"↑ план","ОК"))</f>
        <v/>
      </c>
      <c r="Q10" s="13"/>
      <c r="R10" s="13"/>
      <c r="S10" s="13"/>
      <c r="T10" s="13"/>
    </row>
    <row r="11" spans="1:20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2" t="str">
        <f>IF(OR(N11="",O11=""),"",IF(MATCH(O11,Справочники!$F$2:$F$6,0)&gt;MATCH(N11,Справочники!$F$2:$F$6,0),"↑ план","ОК"))</f>
        <v/>
      </c>
      <c r="Q11" s="13"/>
      <c r="R11" s="13"/>
      <c r="S11" s="13"/>
      <c r="T11" s="13"/>
    </row>
    <row r="12" spans="1:20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2" t="str">
        <f>IF(OR(N12="",O12=""),"",IF(MATCH(O12,Справочники!$F$2:$F$6,0)&gt;MATCH(N12,Справочники!$F$2:$F$6,0),"↑ план","ОК"))</f>
        <v/>
      </c>
      <c r="Q12" s="13"/>
      <c r="R12" s="13"/>
      <c r="S12" s="13"/>
      <c r="T12" s="13"/>
    </row>
    <row r="13" spans="1:20" x14ac:dyDescent="0.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2" t="str">
        <f>IF(OR(N13="",O13=""),"",IF(MATCH(O13,Справочники!$F$2:$F$6,0)&gt;MATCH(N13,Справочники!$F$2:$F$6,0),"↑ план","ОК"))</f>
        <v/>
      </c>
      <c r="Q13" s="13"/>
      <c r="R13" s="13"/>
      <c r="S13" s="13"/>
      <c r="T13" s="13"/>
    </row>
    <row r="14" spans="1:20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2" t="str">
        <f>IF(OR(N14="",O14=""),"",IF(MATCH(O14,Справочники!$F$2:$F$6,0)&gt;MATCH(N14,Справочники!$F$2:$F$6,0),"↑ план","ОК"))</f>
        <v/>
      </c>
      <c r="Q14" s="13"/>
      <c r="R14" s="13"/>
      <c r="S14" s="13"/>
      <c r="T14" s="13"/>
    </row>
    <row r="15" spans="1:20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2" t="str">
        <f>IF(OR(N15="",O15=""),"",IF(MATCH(O15,Справочники!$F$2:$F$6,0)&gt;MATCH(N15,Справочники!$F$2:$F$6,0),"↑ план","ОК"))</f>
        <v/>
      </c>
      <c r="Q15" s="13"/>
      <c r="R15" s="13"/>
      <c r="S15" s="13"/>
      <c r="T15" s="13"/>
    </row>
    <row r="16" spans="1:20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2" t="str">
        <f>IF(OR(N16="",O16=""),"",IF(MATCH(O16,Справочники!$F$2:$F$6,0)&gt;MATCH(N16,Справочники!$F$2:$F$6,0),"↑ план","ОК"))</f>
        <v/>
      </c>
      <c r="Q16" s="13"/>
      <c r="R16" s="13"/>
      <c r="S16" s="13"/>
      <c r="T16" s="13"/>
    </row>
    <row r="17" spans="1:20" x14ac:dyDescent="0.2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2" t="str">
        <f>IF(OR(N17="",O17=""),"",IF(MATCH(O17,Справочники!$F$2:$F$6,0)&gt;MATCH(N17,Справочники!$F$2:$F$6,0),"↑ план","ОК"))</f>
        <v/>
      </c>
      <c r="Q17" s="13"/>
      <c r="R17" s="13"/>
      <c r="S17" s="13"/>
      <c r="T17" s="13"/>
    </row>
    <row r="18" spans="1:20" x14ac:dyDescent="0.2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2" t="str">
        <f>IF(OR(N18="",O18=""),"",IF(MATCH(O18,Справочники!$F$2:$F$6,0)&gt;MATCH(N18,Справочники!$F$2:$F$6,0),"↑ план","ОК"))</f>
        <v/>
      </c>
      <c r="Q18" s="13"/>
      <c r="R18" s="13"/>
      <c r="S18" s="13"/>
      <c r="T18" s="13"/>
    </row>
    <row r="19" spans="1:20" x14ac:dyDescent="0.2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2" t="str">
        <f>IF(OR(N19="",O19=""),"",IF(MATCH(O19,Справочники!$F$2:$F$6,0)&gt;MATCH(N19,Справочники!$F$2:$F$6,0),"↑ план","ОК"))</f>
        <v/>
      </c>
      <c r="Q19" s="13"/>
      <c r="R19" s="13"/>
      <c r="S19" s="13"/>
      <c r="T19" s="13"/>
    </row>
    <row r="20" spans="1:20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2" t="str">
        <f>IF(OR(N20="",O20=""),"",IF(MATCH(O20,Справочники!$F$2:$F$6,0)&gt;MATCH(N20,Справочники!$F$2:$F$6,0),"↑ план","ОК"))</f>
        <v/>
      </c>
      <c r="Q20" s="13"/>
      <c r="R20" s="13"/>
      <c r="S20" s="13"/>
      <c r="T20" s="13"/>
    </row>
    <row r="21" spans="1:20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2" t="str">
        <f>IF(OR(N21="",O21=""),"",IF(MATCH(O21,Справочники!$F$2:$F$6,0)&gt;MATCH(N21,Справочники!$F$2:$F$6,0),"↑ план","ОК"))</f>
        <v/>
      </c>
      <c r="Q21" s="13"/>
      <c r="R21" s="13"/>
      <c r="S21" s="13"/>
      <c r="T21" s="13"/>
    </row>
    <row r="22" spans="1:20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2" t="str">
        <f>IF(OR(N22="",O22=""),"",IF(MATCH(O22,Справочники!$F$2:$F$6,0)&gt;MATCH(N22,Справочники!$F$2:$F$6,0),"↑ план","ОК"))</f>
        <v/>
      </c>
      <c r="Q22" s="13"/>
      <c r="R22" s="13"/>
      <c r="S22" s="13"/>
      <c r="T22" s="13"/>
    </row>
    <row r="23" spans="1:20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2" t="str">
        <f>IF(OR(N23="",O23=""),"",IF(MATCH(O23,Справочники!$F$2:$F$6,0)&gt;MATCH(N23,Справочники!$F$2:$F$6,0),"↑ план","ОК"))</f>
        <v/>
      </c>
      <c r="Q23" s="13"/>
      <c r="R23" s="13"/>
      <c r="S23" s="13"/>
      <c r="T23" s="13"/>
    </row>
    <row r="24" spans="1:20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2" t="str">
        <f>IF(OR(N24="",O24=""),"",IF(MATCH(O24,Справочники!$F$2:$F$6,0)&gt;MATCH(N24,Справочники!$F$2:$F$6,0),"↑ план","ОК"))</f>
        <v/>
      </c>
      <c r="Q24" s="13"/>
      <c r="R24" s="13"/>
      <c r="S24" s="13"/>
      <c r="T24" s="13"/>
    </row>
    <row r="25" spans="1:20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2" t="str">
        <f>IF(OR(N25="",O25=""),"",IF(MATCH(O25,Справочники!$F$2:$F$6,0)&gt;MATCH(N25,Справочники!$F$2:$F$6,0),"↑ план","ОК"))</f>
        <v/>
      </c>
      <c r="Q25" s="13"/>
      <c r="R25" s="13"/>
      <c r="S25" s="13"/>
      <c r="T25" s="13"/>
    </row>
    <row r="26" spans="1:20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2" t="str">
        <f>IF(OR(N26="",O26=""),"",IF(MATCH(O26,Справочники!$F$2:$F$6,0)&gt;MATCH(N26,Справочники!$F$2:$F$6,0),"↑ план","ОК"))</f>
        <v/>
      </c>
      <c r="Q26" s="13"/>
      <c r="R26" s="13"/>
      <c r="S26" s="13"/>
      <c r="T26" s="13"/>
    </row>
    <row r="27" spans="1:20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2" t="str">
        <f>IF(OR(N27="",O27=""),"",IF(MATCH(O27,Справочники!$F$2:$F$6,0)&gt;MATCH(N27,Справочники!$F$2:$F$6,0),"↑ план","ОК"))</f>
        <v/>
      </c>
      <c r="Q27" s="13"/>
      <c r="R27" s="13"/>
      <c r="S27" s="13"/>
      <c r="T27" s="13"/>
    </row>
    <row r="28" spans="1:20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2" t="str">
        <f>IF(OR(N28="",O28=""),"",IF(MATCH(O28,Справочники!$F$2:$F$6,0)&gt;MATCH(N28,Справочники!$F$2:$F$6,0),"↑ план","ОК"))</f>
        <v/>
      </c>
      <c r="Q28" s="13"/>
      <c r="R28" s="13"/>
      <c r="S28" s="13"/>
      <c r="T28" s="13"/>
    </row>
    <row r="29" spans="1:20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2" t="str">
        <f>IF(OR(N29="",O29=""),"",IF(MATCH(O29,Справочники!$F$2:$F$6,0)&gt;MATCH(N29,Справочники!$F$2:$F$6,0),"↑ план","ОК"))</f>
        <v/>
      </c>
      <c r="Q29" s="13"/>
      <c r="R29" s="13"/>
      <c r="S29" s="13"/>
      <c r="T29" s="13"/>
    </row>
    <row r="30" spans="1:20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2" t="str">
        <f>IF(OR(N30="",O30=""),"",IF(MATCH(O30,Справочники!$F$2:$F$6,0)&gt;MATCH(N30,Справочники!$F$2:$F$6,0),"↑ план","ОК"))</f>
        <v/>
      </c>
      <c r="Q30" s="13"/>
      <c r="R30" s="13"/>
      <c r="S30" s="13"/>
      <c r="T30" s="13"/>
    </row>
    <row r="31" spans="1:20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2" t="str">
        <f>IF(OR(N31="",O31=""),"",IF(MATCH(O31,Справочники!$F$2:$F$6,0)&gt;MATCH(N31,Справочники!$F$2:$F$6,0),"↑ план","ОК"))</f>
        <v/>
      </c>
      <c r="Q31" s="13"/>
      <c r="R31" s="13"/>
      <c r="S31" s="13"/>
      <c r="T31" s="13"/>
    </row>
    <row r="32" spans="1:20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2" t="str">
        <f>IF(OR(N32="",O32=""),"",IF(MATCH(O32,Справочники!$F$2:$F$6,0)&gt;MATCH(N32,Справочники!$F$2:$F$6,0),"↑ план","ОК"))</f>
        <v/>
      </c>
      <c r="Q32" s="13"/>
      <c r="R32" s="13"/>
      <c r="S32" s="13"/>
      <c r="T32" s="13"/>
    </row>
    <row r="33" spans="1:20" x14ac:dyDescent="0.2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2" t="str">
        <f>IF(OR(N33="",O33=""),"",IF(MATCH(O33,Справочники!$F$2:$F$6,0)&gt;MATCH(N33,Справочники!$F$2:$F$6,0),"↑ план","ОК"))</f>
        <v/>
      </c>
      <c r="Q33" s="13"/>
      <c r="R33" s="13"/>
      <c r="S33" s="13"/>
      <c r="T33" s="13"/>
    </row>
    <row r="34" spans="1:20" x14ac:dyDescent="0.2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2" t="str">
        <f>IF(OR(N34="",O34=""),"",IF(MATCH(O34,Справочники!$F$2:$F$6,0)&gt;MATCH(N34,Справочники!$F$2:$F$6,0),"↑ план","ОК"))</f>
        <v/>
      </c>
      <c r="Q34" s="13"/>
      <c r="R34" s="13"/>
      <c r="S34" s="13"/>
      <c r="T34" s="13"/>
    </row>
    <row r="35" spans="1:20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2" t="str">
        <f>IF(OR(N35="",O35=""),"",IF(MATCH(O35,Справочники!$F$2:$F$6,0)&gt;MATCH(N35,Справочники!$F$2:$F$6,0),"↑ план","ОК"))</f>
        <v/>
      </c>
      <c r="Q35" s="13"/>
      <c r="R35" s="13"/>
      <c r="S35" s="13"/>
      <c r="T35" s="13"/>
    </row>
    <row r="36" spans="1:20" x14ac:dyDescent="0.2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2" t="str">
        <f>IF(OR(N36="",O36=""),"",IF(MATCH(O36,Справочники!$F$2:$F$6,0)&gt;MATCH(N36,Справочники!$F$2:$F$6,0),"↑ план","ОК"))</f>
        <v/>
      </c>
      <c r="Q36" s="13"/>
      <c r="R36" s="13"/>
      <c r="S36" s="13"/>
      <c r="T36" s="13"/>
    </row>
    <row r="37" spans="1:20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2" t="str">
        <f>IF(OR(N37="",O37=""),"",IF(MATCH(O37,Справочники!$F$2:$F$6,0)&gt;MATCH(N37,Справочники!$F$2:$F$6,0),"↑ план","ОК"))</f>
        <v/>
      </c>
      <c r="Q37" s="13"/>
      <c r="R37" s="13"/>
      <c r="S37" s="13"/>
      <c r="T37" s="13"/>
    </row>
    <row r="38" spans="1:20" x14ac:dyDescent="0.2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2" t="str">
        <f>IF(OR(N38="",O38=""),"",IF(MATCH(O38,Справочники!$F$2:$F$6,0)&gt;MATCH(N38,Справочники!$F$2:$F$6,0),"↑ план","ОК"))</f>
        <v/>
      </c>
      <c r="Q38" s="13"/>
      <c r="R38" s="13"/>
      <c r="S38" s="13"/>
      <c r="T38" s="13"/>
    </row>
    <row r="39" spans="1:20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2" t="str">
        <f>IF(OR(N39="",O39=""),"",IF(MATCH(O39,Справочники!$F$2:$F$6,0)&gt;MATCH(N39,Справочники!$F$2:$F$6,0),"↑ план","ОК"))</f>
        <v/>
      </c>
      <c r="Q39" s="13"/>
      <c r="R39" s="13"/>
      <c r="S39" s="13"/>
      <c r="T39" s="13"/>
    </row>
    <row r="40" spans="1:20" x14ac:dyDescent="0.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2" t="str">
        <f>IF(OR(N40="",O40=""),"",IF(MATCH(O40,Справочники!$F$2:$F$6,0)&gt;MATCH(N40,Справочники!$F$2:$F$6,0),"↑ план","ОК"))</f>
        <v/>
      </c>
      <c r="Q40" s="13"/>
      <c r="R40" s="13"/>
      <c r="S40" s="13"/>
      <c r="T40" s="13"/>
    </row>
    <row r="41" spans="1:20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2" t="str">
        <f>IF(OR(N41="",O41=""),"",IF(MATCH(O41,Справочники!$F$2:$F$6,0)&gt;MATCH(N41,Справочники!$F$2:$F$6,0),"↑ план","ОК"))</f>
        <v/>
      </c>
      <c r="Q41" s="13"/>
      <c r="R41" s="13"/>
      <c r="S41" s="13"/>
      <c r="T41" s="13"/>
    </row>
    <row r="42" spans="1:20" x14ac:dyDescent="0.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2" t="str">
        <f>IF(OR(N42="",O42=""),"",IF(MATCH(O42,Справочники!$F$2:$F$6,0)&gt;MATCH(N42,Справочники!$F$2:$F$6,0),"↑ план","ОК"))</f>
        <v/>
      </c>
      <c r="Q42" s="13"/>
      <c r="R42" s="13"/>
      <c r="S42" s="13"/>
      <c r="T42" s="13"/>
    </row>
    <row r="43" spans="1:20" x14ac:dyDescent="0.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2" t="str">
        <f>IF(OR(N43="",O43=""),"",IF(MATCH(O43,Справочники!$F$2:$F$6,0)&gt;MATCH(N43,Справочники!$F$2:$F$6,0),"↑ план","ОК"))</f>
        <v/>
      </c>
      <c r="Q43" s="13"/>
      <c r="R43" s="13"/>
      <c r="S43" s="13"/>
      <c r="T43" s="13"/>
    </row>
    <row r="44" spans="1:20" x14ac:dyDescent="0.2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2" t="str">
        <f>IF(OR(N44="",O44=""),"",IF(MATCH(O44,Справочники!$F$2:$F$6,0)&gt;MATCH(N44,Справочники!$F$2:$F$6,0),"↑ план","ОК"))</f>
        <v/>
      </c>
      <c r="Q44" s="13"/>
      <c r="R44" s="13"/>
      <c r="S44" s="13"/>
      <c r="T44" s="13"/>
    </row>
    <row r="45" spans="1:20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2" t="str">
        <f>IF(OR(N45="",O45=""),"",IF(MATCH(O45,Справочники!$F$2:$F$6,0)&gt;MATCH(N45,Справочники!$F$2:$F$6,0),"↑ план","ОК"))</f>
        <v/>
      </c>
      <c r="Q45" s="13"/>
      <c r="R45" s="13"/>
      <c r="S45" s="13"/>
      <c r="T45" s="13"/>
    </row>
    <row r="46" spans="1:20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2" t="str">
        <f>IF(OR(N46="",O46=""),"",IF(MATCH(O46,Справочники!$F$2:$F$6,0)&gt;MATCH(N46,Справочники!$F$2:$F$6,0),"↑ план","ОК"))</f>
        <v/>
      </c>
      <c r="Q46" s="13"/>
      <c r="R46" s="13"/>
      <c r="S46" s="13"/>
      <c r="T46" s="13"/>
    </row>
    <row r="47" spans="1:20" x14ac:dyDescent="0.2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2" t="str">
        <f>IF(OR(N47="",O47=""),"",IF(MATCH(O47,Справочники!$F$2:$F$6,0)&gt;MATCH(N47,Справочники!$F$2:$F$6,0),"↑ план","ОК"))</f>
        <v/>
      </c>
      <c r="Q47" s="13"/>
      <c r="R47" s="13"/>
      <c r="S47" s="13"/>
      <c r="T47" s="13"/>
    </row>
    <row r="48" spans="1:20" x14ac:dyDescent="0.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2" t="str">
        <f>IF(OR(N48="",O48=""),"",IF(MATCH(O48,Справочники!$F$2:$F$6,0)&gt;MATCH(N48,Справочники!$F$2:$F$6,0),"↑ план","ОК"))</f>
        <v/>
      </c>
      <c r="Q48" s="13"/>
      <c r="R48" s="13"/>
      <c r="S48" s="13"/>
      <c r="T48" s="13"/>
    </row>
    <row r="49" spans="1:20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2" t="str">
        <f>IF(OR(N49="",O49=""),"",IF(MATCH(O49,Справочники!$F$2:$F$6,0)&gt;MATCH(N49,Справочники!$F$2:$F$6,0),"↑ план","ОК"))</f>
        <v/>
      </c>
      <c r="Q49" s="13"/>
      <c r="R49" s="13"/>
      <c r="S49" s="13"/>
      <c r="T49" s="13"/>
    </row>
    <row r="50" spans="1:20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2" t="str">
        <f>IF(OR(N50="",O50=""),"",IF(MATCH(O50,Справочники!$F$2:$F$6,0)&gt;MATCH(N50,Справочники!$F$2:$F$6,0),"↑ план","ОК"))</f>
        <v/>
      </c>
      <c r="Q50" s="13"/>
      <c r="R50" s="13"/>
      <c r="S50" s="13"/>
      <c r="T50" s="13"/>
    </row>
    <row r="51" spans="1:20" x14ac:dyDescent="0.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2" t="str">
        <f>IF(OR(N51="",O51=""),"",IF(MATCH(O51,Справочники!$F$2:$F$6,0)&gt;MATCH(N51,Справочники!$F$2:$F$6,0),"↑ план","ОК"))</f>
        <v/>
      </c>
      <c r="Q51" s="13"/>
      <c r="R51" s="13"/>
      <c r="S51" s="13"/>
      <c r="T51" s="13"/>
    </row>
    <row r="52" spans="1:20" x14ac:dyDescent="0.2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2" t="str">
        <f>IF(OR(N52="",O52=""),"",IF(MATCH(O52,Справочники!$F$2:$F$6,0)&gt;MATCH(N52,Справочники!$F$2:$F$6,0),"↑ план","ОК"))</f>
        <v/>
      </c>
      <c r="Q52" s="13"/>
      <c r="R52" s="13"/>
      <c r="S52" s="13"/>
      <c r="T52" s="13"/>
    </row>
    <row r="53" spans="1:20" x14ac:dyDescent="0.2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2" t="str">
        <f>IF(OR(N53="",O53=""),"",IF(MATCH(O53,Справочники!$F$2:$F$6,0)&gt;MATCH(N53,Справочники!$F$2:$F$6,0),"↑ план","ОК"))</f>
        <v/>
      </c>
      <c r="Q53" s="13"/>
      <c r="R53" s="13"/>
      <c r="S53" s="13"/>
      <c r="T53" s="13"/>
    </row>
    <row r="54" spans="1:20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2" t="str">
        <f>IF(OR(N54="",O54=""),"",IF(MATCH(O54,Справочники!$F$2:$F$6,0)&gt;MATCH(N54,Справочники!$F$2:$F$6,0),"↑ план","ОК"))</f>
        <v/>
      </c>
      <c r="Q54" s="13"/>
      <c r="R54" s="13"/>
      <c r="S54" s="13"/>
      <c r="T54" s="13"/>
    </row>
    <row r="55" spans="1:20" x14ac:dyDescent="0.2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2" t="str">
        <f>IF(OR(N55="",O55=""),"",IF(MATCH(O55,Справочники!$F$2:$F$6,0)&gt;MATCH(N55,Справочники!$F$2:$F$6,0),"↑ план","ОК"))</f>
        <v/>
      </c>
      <c r="Q55" s="13"/>
      <c r="R55" s="13"/>
      <c r="S55" s="13"/>
      <c r="T55" s="13"/>
    </row>
    <row r="56" spans="1:20" x14ac:dyDescent="0.2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2" t="str">
        <f>IF(OR(N56="",O56=""),"",IF(MATCH(O56,Справочники!$F$2:$F$6,0)&gt;MATCH(N56,Справочники!$F$2:$F$6,0),"↑ план","ОК"))</f>
        <v/>
      </c>
      <c r="Q56" s="13"/>
      <c r="R56" s="13"/>
      <c r="S56" s="13"/>
      <c r="T56" s="13"/>
    </row>
    <row r="57" spans="1:20" x14ac:dyDescent="0.2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2" t="str">
        <f>IF(OR(N57="",O57=""),"",IF(MATCH(O57,Справочники!$F$2:$F$6,0)&gt;MATCH(N57,Справочники!$F$2:$F$6,0),"↑ план","ОК"))</f>
        <v/>
      </c>
      <c r="Q57" s="13"/>
      <c r="R57" s="13"/>
      <c r="S57" s="13"/>
      <c r="T57" s="13"/>
    </row>
    <row r="58" spans="1:20" x14ac:dyDescent="0.2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2" t="str">
        <f>IF(OR(N58="",O58=""),"",IF(MATCH(O58,Справочники!$F$2:$F$6,0)&gt;MATCH(N58,Справочники!$F$2:$F$6,0),"↑ план","ОК"))</f>
        <v/>
      </c>
      <c r="Q58" s="13"/>
      <c r="R58" s="13"/>
      <c r="S58" s="13"/>
      <c r="T58" s="13"/>
    </row>
    <row r="59" spans="1:20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2" t="str">
        <f>IF(OR(N59="",O59=""),"",IF(MATCH(O59,Справочники!$F$2:$F$6,0)&gt;MATCH(N59,Справочники!$F$2:$F$6,0),"↑ план","ОК"))</f>
        <v/>
      </c>
      <c r="Q59" s="13"/>
      <c r="R59" s="13"/>
      <c r="S59" s="13"/>
      <c r="T59" s="13"/>
    </row>
    <row r="60" spans="1:20" x14ac:dyDescent="0.2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2" t="str">
        <f>IF(OR(N60="",O60=""),"",IF(MATCH(O60,Справочники!$F$2:$F$6,0)&gt;MATCH(N60,Справочники!$F$2:$F$6,0),"↑ план","ОК"))</f>
        <v/>
      </c>
      <c r="Q60" s="13"/>
      <c r="R60" s="13"/>
      <c r="S60" s="13"/>
      <c r="T60" s="13"/>
    </row>
    <row r="61" spans="1:20" x14ac:dyDescent="0.2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2" t="str">
        <f>IF(OR(N61="",O61=""),"",IF(MATCH(O61,Справочники!$F$2:$F$6,0)&gt;MATCH(N61,Справочники!$F$2:$F$6,0),"↑ план","ОК"))</f>
        <v/>
      </c>
      <c r="Q61" s="13"/>
      <c r="R61" s="13"/>
      <c r="S61" s="13"/>
      <c r="T61" s="13"/>
    </row>
    <row r="62" spans="1:20" x14ac:dyDescent="0.2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2" t="str">
        <f>IF(OR(N62="",O62=""),"",IF(MATCH(O62,Справочники!$F$2:$F$6,0)&gt;MATCH(N62,Справочники!$F$2:$F$6,0),"↑ план","ОК"))</f>
        <v/>
      </c>
      <c r="Q62" s="13"/>
      <c r="R62" s="13"/>
      <c r="S62" s="13"/>
      <c r="T62" s="13"/>
    </row>
    <row r="63" spans="1:20" x14ac:dyDescent="0.2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2" t="str">
        <f>IF(OR(N63="",O63=""),"",IF(MATCH(O63,Справочники!$F$2:$F$6,0)&gt;MATCH(N63,Справочники!$F$2:$F$6,0),"↑ план","ОК"))</f>
        <v/>
      </c>
      <c r="Q63" s="13"/>
      <c r="R63" s="13"/>
      <c r="S63" s="13"/>
      <c r="T63" s="13"/>
    </row>
    <row r="64" spans="1:20" x14ac:dyDescent="0.2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2" t="str">
        <f>IF(OR(N64="",O64=""),"",IF(MATCH(O64,Справочники!$F$2:$F$6,0)&gt;MATCH(N64,Справочники!$F$2:$F$6,0),"↑ план","ОК"))</f>
        <v/>
      </c>
      <c r="Q64" s="13"/>
      <c r="R64" s="13"/>
      <c r="S64" s="13"/>
      <c r="T64" s="13"/>
    </row>
    <row r="65" spans="1:20" x14ac:dyDescent="0.2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2" t="str">
        <f>IF(OR(N65="",O65=""),"",IF(MATCH(O65,Справочники!$F$2:$F$6,0)&gt;MATCH(N65,Справочники!$F$2:$F$6,0),"↑ план","ОК"))</f>
        <v/>
      </c>
      <c r="Q65" s="13"/>
      <c r="R65" s="13"/>
      <c r="S65" s="13"/>
      <c r="T65" s="13"/>
    </row>
    <row r="66" spans="1:20" x14ac:dyDescent="0.2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2" t="str">
        <f>IF(OR(N66="",O66=""),"",IF(MATCH(O66,Справочники!$F$2:$F$6,0)&gt;MATCH(N66,Справочники!$F$2:$F$6,0),"↑ план","ОК"))</f>
        <v/>
      </c>
      <c r="Q66" s="13"/>
      <c r="R66" s="13"/>
      <c r="S66" s="13"/>
      <c r="T66" s="13"/>
    </row>
    <row r="67" spans="1:20" x14ac:dyDescent="0.2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2" t="str">
        <f>IF(OR(N67="",O67=""),"",IF(MATCH(O67,Справочники!$F$2:$F$6,0)&gt;MATCH(N67,Справочники!$F$2:$F$6,0),"↑ план","ОК"))</f>
        <v/>
      </c>
      <c r="Q67" s="13"/>
      <c r="R67" s="13"/>
      <c r="S67" s="13"/>
      <c r="T67" s="13"/>
    </row>
    <row r="68" spans="1:20" x14ac:dyDescent="0.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2" t="str">
        <f>IF(OR(N68="",O68=""),"",IF(MATCH(O68,Справочники!$F$2:$F$6,0)&gt;MATCH(N68,Справочники!$F$2:$F$6,0),"↑ план","ОК"))</f>
        <v/>
      </c>
      <c r="Q68" s="13"/>
      <c r="R68" s="13"/>
      <c r="S68" s="13"/>
      <c r="T68" s="13"/>
    </row>
    <row r="69" spans="1:20" x14ac:dyDescent="0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2" t="str">
        <f>IF(OR(N69="",O69=""),"",IF(MATCH(O69,Справочники!$F$2:$F$6,0)&gt;MATCH(N69,Справочники!$F$2:$F$6,0),"↑ план","ОК"))</f>
        <v/>
      </c>
      <c r="Q69" s="13"/>
      <c r="R69" s="13"/>
      <c r="S69" s="13"/>
      <c r="T69" s="13"/>
    </row>
    <row r="70" spans="1:20" x14ac:dyDescent="0.2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2" t="str">
        <f>IF(OR(N70="",O70=""),"",IF(MATCH(O70,Справочники!$F$2:$F$6,0)&gt;MATCH(N70,Справочники!$F$2:$F$6,0),"↑ план","ОК"))</f>
        <v/>
      </c>
      <c r="Q70" s="13"/>
      <c r="R70" s="13"/>
      <c r="S70" s="13"/>
      <c r="T70" s="13"/>
    </row>
    <row r="71" spans="1:20" x14ac:dyDescent="0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2" t="str">
        <f>IF(OR(N71="",O71=""),"",IF(MATCH(O71,Справочники!$F$2:$F$6,0)&gt;MATCH(N71,Справочники!$F$2:$F$6,0),"↑ план","ОК"))</f>
        <v/>
      </c>
      <c r="Q71" s="13"/>
      <c r="R71" s="13"/>
      <c r="S71" s="13"/>
      <c r="T71" s="13"/>
    </row>
    <row r="72" spans="1:20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2" t="str">
        <f>IF(OR(N72="",O72=""),"",IF(MATCH(O72,Справочники!$F$2:$F$6,0)&gt;MATCH(N72,Справочники!$F$2:$F$6,0),"↑ план","ОК"))</f>
        <v/>
      </c>
      <c r="Q72" s="13"/>
      <c r="R72" s="13"/>
      <c r="S72" s="13"/>
      <c r="T72" s="13"/>
    </row>
    <row r="73" spans="1:20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2" t="str">
        <f>IF(OR(N73="",O73=""),"",IF(MATCH(O73,Справочники!$F$2:$F$6,0)&gt;MATCH(N73,Справочники!$F$2:$F$6,0),"↑ план","ОК"))</f>
        <v/>
      </c>
      <c r="Q73" s="13"/>
      <c r="R73" s="13"/>
      <c r="S73" s="13"/>
      <c r="T73" s="13"/>
    </row>
    <row r="74" spans="1:20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2" t="str">
        <f>IF(OR(N74="",O74=""),"",IF(MATCH(O74,Справочники!$F$2:$F$6,0)&gt;MATCH(N74,Справочники!$F$2:$F$6,0),"↑ план","ОК"))</f>
        <v/>
      </c>
      <c r="Q74" s="13"/>
      <c r="R74" s="13"/>
      <c r="S74" s="13"/>
      <c r="T74" s="13"/>
    </row>
    <row r="75" spans="1:20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2" t="str">
        <f>IF(OR(N75="",O75=""),"",IF(MATCH(O75,Справочники!$F$2:$F$6,0)&gt;MATCH(N75,Справочники!$F$2:$F$6,0),"↑ план","ОК"))</f>
        <v/>
      </c>
      <c r="Q75" s="13"/>
      <c r="R75" s="13"/>
      <c r="S75" s="13"/>
      <c r="T75" s="13"/>
    </row>
    <row r="76" spans="1:20" x14ac:dyDescent="0.2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2" t="str">
        <f>IF(OR(N76="",O76=""),"",IF(MATCH(O76,Справочники!$F$2:$F$6,0)&gt;MATCH(N76,Справочники!$F$2:$F$6,0),"↑ план","ОК"))</f>
        <v/>
      </c>
      <c r="Q76" s="13"/>
      <c r="R76" s="13"/>
      <c r="S76" s="13"/>
      <c r="T76" s="13"/>
    </row>
    <row r="77" spans="1:20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2" t="str">
        <f>IF(OR(N77="",O77=""),"",IF(MATCH(O77,Справочники!$F$2:$F$6,0)&gt;MATCH(N77,Справочники!$F$2:$F$6,0),"↑ план","ОК"))</f>
        <v/>
      </c>
      <c r="Q77" s="13"/>
      <c r="R77" s="13"/>
      <c r="S77" s="13"/>
      <c r="T77" s="13"/>
    </row>
    <row r="78" spans="1:20" x14ac:dyDescent="0.2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2" t="str">
        <f>IF(OR(N78="",O78=""),"",IF(MATCH(O78,Справочники!$F$2:$F$6,0)&gt;MATCH(N78,Справочники!$F$2:$F$6,0),"↑ план","ОК"))</f>
        <v/>
      </c>
      <c r="Q78" s="13"/>
      <c r="R78" s="13"/>
      <c r="S78" s="13"/>
      <c r="T78" s="13"/>
    </row>
    <row r="79" spans="1:20" x14ac:dyDescent="0.2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2" t="str">
        <f>IF(OR(N79="",O79=""),"",IF(MATCH(O79,Справочники!$F$2:$F$6,0)&gt;MATCH(N79,Справочники!$F$2:$F$6,0),"↑ план","ОК"))</f>
        <v/>
      </c>
      <c r="Q79" s="13"/>
      <c r="R79" s="13"/>
      <c r="S79" s="13"/>
      <c r="T79" s="13"/>
    </row>
    <row r="80" spans="1:20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2" t="str">
        <f>IF(OR(N80="",O80=""),"",IF(MATCH(O80,Справочники!$F$2:$F$6,0)&gt;MATCH(N80,Справочники!$F$2:$F$6,0),"↑ план","ОК"))</f>
        <v/>
      </c>
      <c r="Q80" s="13"/>
      <c r="R80" s="13"/>
      <c r="S80" s="13"/>
      <c r="T80" s="13"/>
    </row>
    <row r="81" spans="1:20" x14ac:dyDescent="0.2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2" t="str">
        <f>IF(OR(N81="",O81=""),"",IF(MATCH(O81,Справочники!$F$2:$F$6,0)&gt;MATCH(N81,Справочники!$F$2:$F$6,0),"↑ план","ОК"))</f>
        <v/>
      </c>
      <c r="Q81" s="13"/>
      <c r="R81" s="13"/>
      <c r="S81" s="13"/>
      <c r="T81" s="13"/>
    </row>
    <row r="82" spans="1:20" x14ac:dyDescent="0.2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2" t="str">
        <f>IF(OR(N82="",O82=""),"",IF(MATCH(O82,Справочники!$F$2:$F$6,0)&gt;MATCH(N82,Справочники!$F$2:$F$6,0),"↑ план","ОК"))</f>
        <v/>
      </c>
      <c r="Q82" s="13"/>
      <c r="R82" s="13"/>
      <c r="S82" s="13"/>
      <c r="T82" s="13"/>
    </row>
    <row r="83" spans="1:20" x14ac:dyDescent="0.2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2" t="str">
        <f>IF(OR(N83="",O83=""),"",IF(MATCH(O83,Справочники!$F$2:$F$6,0)&gt;MATCH(N83,Справочники!$F$2:$F$6,0),"↑ план","ОК"))</f>
        <v/>
      </c>
      <c r="Q83" s="13"/>
      <c r="R83" s="13"/>
      <c r="S83" s="13"/>
      <c r="T83" s="13"/>
    </row>
    <row r="84" spans="1:20" x14ac:dyDescent="0.2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2" t="str">
        <f>IF(OR(N84="",O84=""),"",IF(MATCH(O84,Справочники!$F$2:$F$6,0)&gt;MATCH(N84,Справочники!$F$2:$F$6,0),"↑ план","ОК"))</f>
        <v/>
      </c>
      <c r="Q84" s="13"/>
      <c r="R84" s="13"/>
      <c r="S84" s="13"/>
      <c r="T84" s="13"/>
    </row>
    <row r="85" spans="1:20" x14ac:dyDescent="0.2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2" t="str">
        <f>IF(OR(N85="",O85=""),"",IF(MATCH(O85,Справочники!$F$2:$F$6,0)&gt;MATCH(N85,Справочники!$F$2:$F$6,0),"↑ план","ОК"))</f>
        <v/>
      </c>
      <c r="Q85" s="13"/>
      <c r="R85" s="13"/>
      <c r="S85" s="13"/>
      <c r="T85" s="13"/>
    </row>
    <row r="86" spans="1:20" x14ac:dyDescent="0.2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2" t="str">
        <f>IF(OR(N86="",O86=""),"",IF(MATCH(O86,Справочники!$F$2:$F$6,0)&gt;MATCH(N86,Справочники!$F$2:$F$6,0),"↑ план","ОК"))</f>
        <v/>
      </c>
      <c r="Q86" s="13"/>
      <c r="R86" s="13"/>
      <c r="S86" s="13"/>
      <c r="T86" s="13"/>
    </row>
    <row r="87" spans="1:20" x14ac:dyDescent="0.2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2" t="str">
        <f>IF(OR(N87="",O87=""),"",IF(MATCH(O87,Справочники!$F$2:$F$6,0)&gt;MATCH(N87,Справочники!$F$2:$F$6,0),"↑ план","ОК"))</f>
        <v/>
      </c>
      <c r="Q87" s="13"/>
      <c r="R87" s="13"/>
      <c r="S87" s="13"/>
      <c r="T87" s="13"/>
    </row>
    <row r="88" spans="1:20" x14ac:dyDescent="0.2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2" t="str">
        <f>IF(OR(N88="",O88=""),"",IF(MATCH(O88,Справочники!$F$2:$F$6,0)&gt;MATCH(N88,Справочники!$F$2:$F$6,0),"↑ план","ОК"))</f>
        <v/>
      </c>
      <c r="Q88" s="13"/>
      <c r="R88" s="13"/>
      <c r="S88" s="13"/>
      <c r="T88" s="13"/>
    </row>
    <row r="89" spans="1:20" x14ac:dyDescent="0.2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2" t="str">
        <f>IF(OR(N89="",O89=""),"",IF(MATCH(O89,Справочники!$F$2:$F$6,0)&gt;MATCH(N89,Справочники!$F$2:$F$6,0),"↑ план","ОК"))</f>
        <v/>
      </c>
      <c r="Q89" s="13"/>
      <c r="R89" s="13"/>
      <c r="S89" s="13"/>
      <c r="T89" s="13"/>
    </row>
    <row r="90" spans="1:20" x14ac:dyDescent="0.2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2" t="str">
        <f>IF(OR(N90="",O90=""),"",IF(MATCH(O90,Справочники!$F$2:$F$6,0)&gt;MATCH(N90,Справочники!$F$2:$F$6,0),"↑ план","ОК"))</f>
        <v/>
      </c>
      <c r="Q90" s="13"/>
      <c r="R90" s="13"/>
      <c r="S90" s="13"/>
      <c r="T90" s="13"/>
    </row>
    <row r="91" spans="1:20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2" t="str">
        <f>IF(OR(N91="",O91=""),"",IF(MATCH(O91,Справочники!$F$2:$F$6,0)&gt;MATCH(N91,Справочники!$F$2:$F$6,0),"↑ план","ОК"))</f>
        <v/>
      </c>
      <c r="Q91" s="13"/>
      <c r="R91" s="13"/>
      <c r="S91" s="13"/>
      <c r="T91" s="13"/>
    </row>
    <row r="92" spans="1:20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2" t="str">
        <f>IF(OR(N92="",O92=""),"",IF(MATCH(O92,Справочники!$F$2:$F$6,0)&gt;MATCH(N92,Справочники!$F$2:$F$6,0),"↑ план","ОК"))</f>
        <v/>
      </c>
      <c r="Q92" s="13"/>
      <c r="R92" s="13"/>
      <c r="S92" s="13"/>
      <c r="T92" s="13"/>
    </row>
    <row r="93" spans="1:20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2" t="str">
        <f>IF(OR(N93="",O93=""),"",IF(MATCH(O93,Справочники!$F$2:$F$6,0)&gt;MATCH(N93,Справочники!$F$2:$F$6,0),"↑ план","ОК"))</f>
        <v/>
      </c>
      <c r="Q93" s="13"/>
      <c r="R93" s="13"/>
      <c r="S93" s="13"/>
      <c r="T93" s="13"/>
    </row>
    <row r="94" spans="1:20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2" t="str">
        <f>IF(OR(N94="",O94=""),"",IF(MATCH(O94,Справочники!$F$2:$F$6,0)&gt;MATCH(N94,Справочники!$F$2:$F$6,0),"↑ план","ОК"))</f>
        <v/>
      </c>
      <c r="Q94" s="13"/>
      <c r="R94" s="13"/>
      <c r="S94" s="13"/>
      <c r="T94" s="13"/>
    </row>
    <row r="95" spans="1:20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2" t="str">
        <f>IF(OR(N95="",O95=""),"",IF(MATCH(O95,Справочники!$F$2:$F$6,0)&gt;MATCH(N95,Справочники!$F$2:$F$6,0),"↑ план","ОК"))</f>
        <v/>
      </c>
      <c r="Q95" s="13"/>
      <c r="R95" s="13"/>
      <c r="S95" s="13"/>
      <c r="T95" s="13"/>
    </row>
    <row r="96" spans="1:20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2" t="str">
        <f>IF(OR(N96="",O96=""),"",IF(MATCH(O96,Справочники!$F$2:$F$6,0)&gt;MATCH(N96,Справочники!$F$2:$F$6,0),"↑ план","ОК"))</f>
        <v/>
      </c>
      <c r="Q96" s="13"/>
      <c r="R96" s="13"/>
      <c r="S96" s="13"/>
      <c r="T96" s="13"/>
    </row>
    <row r="97" spans="1:20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2" t="str">
        <f>IF(OR(N97="",O97=""),"",IF(MATCH(O97,Справочники!$F$2:$F$6,0)&gt;MATCH(N97,Справочники!$F$2:$F$6,0),"↑ план","ОК"))</f>
        <v/>
      </c>
      <c r="Q97" s="13"/>
      <c r="R97" s="13"/>
      <c r="S97" s="13"/>
      <c r="T97" s="13"/>
    </row>
    <row r="98" spans="1:20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2" t="str">
        <f>IF(OR(N98="",O98=""),"",IF(MATCH(O98,Справочники!$F$2:$F$6,0)&gt;MATCH(N98,Справочники!$F$2:$F$6,0),"↑ план","ОК"))</f>
        <v/>
      </c>
      <c r="Q98" s="13"/>
      <c r="R98" s="13"/>
      <c r="S98" s="13"/>
      <c r="T98" s="13"/>
    </row>
    <row r="99" spans="1:20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2" t="str">
        <f>IF(OR(N99="",O99=""),"",IF(MATCH(O99,Справочники!$F$2:$F$6,0)&gt;MATCH(N99,Справочники!$F$2:$F$6,0),"↑ план","ОК"))</f>
        <v/>
      </c>
      <c r="Q99" s="13"/>
      <c r="R99" s="13"/>
      <c r="S99" s="13"/>
      <c r="T99" s="13"/>
    </row>
    <row r="100" spans="1:20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2" t="str">
        <f>IF(OR(N100="",O100=""),"",IF(MATCH(O100,Справочники!$F$2:$F$6,0)&gt;MATCH(N100,Справочники!$F$2:$F$6,0),"↑ план","ОК"))</f>
        <v/>
      </c>
      <c r="Q100" s="13"/>
      <c r="R100" s="13"/>
      <c r="S100" s="13"/>
      <c r="T100" s="13"/>
    </row>
    <row r="101" spans="1:20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2" t="str">
        <f>IF(OR(N101="",O101=""),"",IF(MATCH(O101,Справочники!$F$2:$F$6,0)&gt;MATCH(N101,Справочники!$F$2:$F$6,0),"↑ план","ОК"))</f>
        <v/>
      </c>
      <c r="Q101" s="13"/>
      <c r="R101" s="13"/>
      <c r="S101" s="13"/>
      <c r="T101" s="13"/>
    </row>
    <row r="102" spans="1:20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2" t="str">
        <f>IF(OR(N102="",O102=""),"",IF(MATCH(O102,Справочники!$F$2:$F$6,0)&gt;MATCH(N102,Справочники!$F$2:$F$6,0),"↑ план","ОК"))</f>
        <v/>
      </c>
      <c r="Q102" s="13"/>
      <c r="R102" s="13"/>
      <c r="S102" s="13"/>
      <c r="T102" s="13"/>
    </row>
    <row r="103" spans="1:20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2" t="str">
        <f>IF(OR(N103="",O103=""),"",IF(MATCH(O103,Справочники!$F$2:$F$6,0)&gt;MATCH(N103,Справочники!$F$2:$F$6,0),"↑ план","ОК"))</f>
        <v/>
      </c>
      <c r="Q103" s="13"/>
      <c r="R103" s="13"/>
      <c r="S103" s="13"/>
      <c r="T103" s="13"/>
    </row>
    <row r="104" spans="1:20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2" t="str">
        <f>IF(OR(N104="",O104=""),"",IF(MATCH(O104,Справочники!$F$2:$F$6,0)&gt;MATCH(N104,Справочники!$F$2:$F$6,0),"↑ план","ОК"))</f>
        <v/>
      </c>
      <c r="Q104" s="13"/>
      <c r="R104" s="13"/>
      <c r="S104" s="13"/>
      <c r="T104" s="13"/>
    </row>
    <row r="105" spans="1:20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2" t="str">
        <f>IF(OR(N105="",O105=""),"",IF(MATCH(O105,Справочники!$F$2:$F$6,0)&gt;MATCH(N105,Справочники!$F$2:$F$6,0),"↑ план","ОК"))</f>
        <v/>
      </c>
      <c r="Q105" s="13"/>
      <c r="R105" s="13"/>
      <c r="S105" s="13"/>
      <c r="T105" s="13"/>
    </row>
    <row r="106" spans="1:20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2" t="str">
        <f>IF(OR(N106="",O106=""),"",IF(MATCH(O106,Справочники!$F$2:$F$6,0)&gt;MATCH(N106,Справочники!$F$2:$F$6,0),"↑ план","ОК"))</f>
        <v/>
      </c>
      <c r="Q106" s="13"/>
      <c r="R106" s="13"/>
      <c r="S106" s="13"/>
      <c r="T106" s="13"/>
    </row>
    <row r="107" spans="1:20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2" t="str">
        <f>IF(OR(N107="",O107=""),"",IF(MATCH(O107,Справочники!$F$2:$F$6,0)&gt;MATCH(N107,Справочники!$F$2:$F$6,0),"↑ план","ОК"))</f>
        <v/>
      </c>
      <c r="Q107" s="13"/>
      <c r="R107" s="13"/>
      <c r="S107" s="13"/>
      <c r="T107" s="13"/>
    </row>
    <row r="108" spans="1:20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2" t="str">
        <f>IF(OR(N108="",O108=""),"",IF(MATCH(O108,Справочники!$F$2:$F$6,0)&gt;MATCH(N108,Справочники!$F$2:$F$6,0),"↑ план","ОК"))</f>
        <v/>
      </c>
      <c r="Q108" s="13"/>
      <c r="R108" s="13"/>
      <c r="S108" s="13"/>
      <c r="T108" s="13"/>
    </row>
    <row r="109" spans="1:20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2" t="str">
        <f>IF(OR(N109="",O109=""),"",IF(MATCH(O109,Справочники!$F$2:$F$6,0)&gt;MATCH(N109,Справочники!$F$2:$F$6,0),"↑ план","ОК"))</f>
        <v/>
      </c>
      <c r="Q109" s="13"/>
      <c r="R109" s="13"/>
      <c r="S109" s="13"/>
      <c r="T109" s="13"/>
    </row>
    <row r="110" spans="1:20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2" t="str">
        <f>IF(OR(N110="",O110=""),"",IF(MATCH(O110,Справочники!$F$2:$F$6,0)&gt;MATCH(N110,Справочники!$F$2:$F$6,0),"↑ план","ОК"))</f>
        <v/>
      </c>
      <c r="Q110" s="13"/>
      <c r="R110" s="13"/>
      <c r="S110" s="13"/>
      <c r="T110" s="13"/>
    </row>
    <row r="111" spans="1:20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2" t="str">
        <f>IF(OR(N111="",O111=""),"",IF(MATCH(O111,Справочники!$F$2:$F$6,0)&gt;MATCH(N111,Справочники!$F$2:$F$6,0),"↑ план","ОК"))</f>
        <v/>
      </c>
      <c r="Q111" s="13"/>
      <c r="R111" s="13"/>
      <c r="S111" s="13"/>
      <c r="T111" s="13"/>
    </row>
    <row r="112" spans="1:20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2" t="str">
        <f>IF(OR(N112="",O112=""),"",IF(MATCH(O112,Справочники!$F$2:$F$6,0)&gt;MATCH(N112,Справочники!$F$2:$F$6,0),"↑ план","ОК"))</f>
        <v/>
      </c>
      <c r="Q112" s="13"/>
      <c r="R112" s="13"/>
      <c r="S112" s="13"/>
      <c r="T112" s="13"/>
    </row>
    <row r="113" spans="1:20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2" t="str">
        <f>IF(OR(N113="",O113=""),"",IF(MATCH(O113,Справочники!$F$2:$F$6,0)&gt;MATCH(N113,Справочники!$F$2:$F$6,0),"↑ план","ОК"))</f>
        <v/>
      </c>
      <c r="Q113" s="13"/>
      <c r="R113" s="13"/>
      <c r="S113" s="13"/>
      <c r="T113" s="13"/>
    </row>
    <row r="114" spans="1:20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2" t="str">
        <f>IF(OR(N114="",O114=""),"",IF(MATCH(O114,Справочники!$F$2:$F$6,0)&gt;MATCH(N114,Справочники!$F$2:$F$6,0),"↑ план","ОК"))</f>
        <v/>
      </c>
      <c r="Q114" s="13"/>
      <c r="R114" s="13"/>
      <c r="S114" s="13"/>
      <c r="T114" s="13"/>
    </row>
    <row r="115" spans="1:20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2" t="str">
        <f>IF(OR(N115="",O115=""),"",IF(MATCH(O115,Справочники!$F$2:$F$6,0)&gt;MATCH(N115,Справочники!$F$2:$F$6,0),"↑ план","ОК"))</f>
        <v/>
      </c>
      <c r="Q115" s="13"/>
      <c r="R115" s="13"/>
      <c r="S115" s="13"/>
      <c r="T115" s="13"/>
    </row>
    <row r="116" spans="1:20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2" t="str">
        <f>IF(OR(N116="",O116=""),"",IF(MATCH(O116,Справочники!$F$2:$F$6,0)&gt;MATCH(N116,Справочники!$F$2:$F$6,0),"↑ план","ОК"))</f>
        <v/>
      </c>
      <c r="Q116" s="13"/>
      <c r="R116" s="13"/>
      <c r="S116" s="13"/>
      <c r="T116" s="13"/>
    </row>
    <row r="117" spans="1:20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2" t="str">
        <f>IF(OR(N117="",O117=""),"",IF(MATCH(O117,Справочники!$F$2:$F$6,0)&gt;MATCH(N117,Справочники!$F$2:$F$6,0),"↑ план","ОК"))</f>
        <v/>
      </c>
      <c r="Q117" s="13"/>
      <c r="R117" s="13"/>
      <c r="S117" s="13"/>
      <c r="T117" s="13"/>
    </row>
    <row r="118" spans="1:20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2" t="str">
        <f>IF(OR(N118="",O118=""),"",IF(MATCH(O118,Справочники!$F$2:$F$6,0)&gt;MATCH(N118,Справочники!$F$2:$F$6,0),"↑ план","ОК"))</f>
        <v/>
      </c>
      <c r="Q118" s="13"/>
      <c r="R118" s="13"/>
      <c r="S118" s="13"/>
      <c r="T118" s="13"/>
    </row>
    <row r="119" spans="1:20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2" t="str">
        <f>IF(OR(N119="",O119=""),"",IF(MATCH(O119,Справочники!$F$2:$F$6,0)&gt;MATCH(N119,Справочники!$F$2:$F$6,0),"↑ план","ОК"))</f>
        <v/>
      </c>
      <c r="Q119" s="13"/>
      <c r="R119" s="13"/>
      <c r="S119" s="13"/>
      <c r="T119" s="13"/>
    </row>
    <row r="120" spans="1:20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2" t="str">
        <f>IF(OR(N120="",O120=""),"",IF(MATCH(O120,Справочники!$F$2:$F$6,0)&gt;MATCH(N120,Справочники!$F$2:$F$6,0),"↑ план","ОК"))</f>
        <v/>
      </c>
      <c r="Q120" s="13"/>
      <c r="R120" s="13"/>
      <c r="S120" s="13"/>
      <c r="T120" s="13"/>
    </row>
    <row r="121" spans="1:20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2" t="str">
        <f>IF(OR(N121="",O121=""),"",IF(MATCH(O121,Справочники!$F$2:$F$6,0)&gt;MATCH(N121,Справочники!$F$2:$F$6,0),"↑ план","ОК"))</f>
        <v/>
      </c>
      <c r="Q121" s="13"/>
      <c r="R121" s="13"/>
      <c r="S121" s="13"/>
      <c r="T121" s="13"/>
    </row>
    <row r="122" spans="1:20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2" t="str">
        <f>IF(OR(N122="",O122=""),"",IF(MATCH(O122,Справочники!$F$2:$F$6,0)&gt;MATCH(N122,Справочники!$F$2:$F$6,0),"↑ план","ОК"))</f>
        <v/>
      </c>
      <c r="Q122" s="13"/>
      <c r="R122" s="13"/>
      <c r="S122" s="13"/>
      <c r="T122" s="13"/>
    </row>
  </sheetData>
  <autoFilter ref="A2:T122" xr:uid="{00000000-0009-0000-0000-000001000000}"/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errorTitle="Недопустимое значение" error="Выберите значение из списка" prompt="Выберите из списка" xr:uid="{00000000-0002-0000-0100-000000000000}">
          <x14:formula1>
            <xm:f>Справочники!$A$2:$A$13</xm:f>
          </x14:formula1>
          <x14:formula2>
            <xm:f>0</xm:f>
          </x14:formula2>
          <xm:sqref>D3:D122</xm:sqref>
        </x14:dataValidation>
        <x14:dataValidation type="list" allowBlank="1" errorTitle="Недопустимое значение" error="Выберите значение из списка" prompt="Выберите из списка" xr:uid="{00000000-0002-0000-0100-000001000000}">
          <x14:formula1>
            <xm:f>Справочники!$B$2:$B$3</xm:f>
          </x14:formula1>
          <x14:formula2>
            <xm:f>0</xm:f>
          </x14:formula2>
          <xm:sqref>F3:F122</xm:sqref>
        </x14:dataValidation>
        <x14:dataValidation type="list" allowBlank="1" errorTitle="Недопустимое значение" error="Выберите значение из списка" prompt="Выберите из списка" xr:uid="{00000000-0002-0000-0100-000002000000}">
          <x14:formula1>
            <xm:f>Справочники!$C$2:$C$4</xm:f>
          </x14:formula1>
          <x14:formula2>
            <xm:f>0</xm:f>
          </x14:formula2>
          <xm:sqref>J3:J122</xm:sqref>
        </x14:dataValidation>
        <x14:dataValidation type="list" allowBlank="1" errorTitle="Недопустимое значение" error="Выберите значение из списка" prompt="Выберите из списка" xr:uid="{00000000-0002-0000-0100-000003000000}">
          <x14:formula1>
            <xm:f>Справочники!$D$2:$D$4</xm:f>
          </x14:formula1>
          <x14:formula2>
            <xm:f>0</xm:f>
          </x14:formula2>
          <xm:sqref>K3:K122</xm:sqref>
        </x14:dataValidation>
        <x14:dataValidation type="list" allowBlank="1" errorTitle="Недопустимое значение" error="Выберите значение из списка" prompt="Выберите из списка" xr:uid="{00000000-0002-0000-0100-000004000000}">
          <x14:formula1>
            <xm:f>Справочники!$E$2:$E$5</xm:f>
          </x14:formula1>
          <x14:formula2>
            <xm:f>0</xm:f>
          </x14:formula2>
          <xm:sqref>M3:M122</xm:sqref>
        </x14:dataValidation>
        <x14:dataValidation type="list" allowBlank="1" errorTitle="Недопустимое значение" error="Выберите значение из списка" prompt="Выберите из списка" xr:uid="{00000000-0002-0000-0100-000005000000}">
          <x14:formula1>
            <xm:f>Справочники!$F$2:$F$6</xm:f>
          </x14:formula1>
          <x14:formula2>
            <xm:f>0</xm:f>
          </x14:formula2>
          <xm:sqref>N3:O122</xm:sqref>
        </x14:dataValidation>
        <x14:dataValidation type="list" allowBlank="1" errorTitle="Недопустимое значение" error="Выберите значение из списка" prompt="Выберите из списка" xr:uid="{00000000-0002-0000-0100-000007000000}">
          <x14:formula1>
            <xm:f>Справочники!$G$2:$G$5</xm:f>
          </x14:formula1>
          <x14:formula2>
            <xm:f>0</xm:f>
          </x14:formula2>
          <xm:sqref>L3:L122</xm:sqref>
        </x14:dataValidation>
        <x14:dataValidation type="list" allowBlank="1" errorTitle="Недопустимое значение" error="Выберите значение из списка" prompt="Выберите из списка" xr:uid="{00000000-0002-0000-0100-000008000000}">
          <x14:formula1>
            <xm:f>Справочники!$H$2:$H$4</xm:f>
          </x14:formula1>
          <x14:formula2>
            <xm:f>0</xm:f>
          </x14:formula2>
          <xm:sqref>S3:S122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17"/>
  <sheetViews>
    <sheetView showGridLines="0" zoomScaleNormal="100" workbookViewId="0">
      <selection activeCell="C12" sqref="C12"/>
    </sheetView>
  </sheetViews>
  <sheetFormatPr defaultColWidth="8.7109375" defaultRowHeight="15" x14ac:dyDescent="0.25"/>
  <cols>
    <col min="2" max="2" width="14" customWidth="1"/>
    <col min="3" max="5" width="26" customWidth="1"/>
  </cols>
  <sheetData>
    <row r="2" spans="2:5" ht="18" x14ac:dyDescent="0.25">
      <c r="B2" s="9" t="s">
        <v>111</v>
      </c>
    </row>
    <row r="3" spans="2:5" x14ac:dyDescent="0.25">
      <c r="B3" s="2" t="s">
        <v>112</v>
      </c>
    </row>
    <row r="5" spans="2:5" x14ac:dyDescent="0.25">
      <c r="C5" s="14" t="s">
        <v>113</v>
      </c>
    </row>
    <row r="6" spans="2:5" ht="21.75" customHeight="1" x14ac:dyDescent="0.25">
      <c r="B6" s="14" t="s">
        <v>114</v>
      </c>
      <c r="C6" s="10" t="s">
        <v>115</v>
      </c>
      <c r="D6" s="10" t="s">
        <v>86</v>
      </c>
      <c r="E6" s="10" t="s">
        <v>62</v>
      </c>
    </row>
    <row r="7" spans="2:5" ht="15.75" x14ac:dyDescent="0.25">
      <c r="B7" s="15" t="s">
        <v>61</v>
      </c>
      <c r="C7" s="16">
        <f>COUNTIFS(Реестр!$J$3:$J$122,"Высокое",Реестр!$K$3:$K$122,"Низкий")</f>
        <v>0</v>
      </c>
      <c r="D7" s="16">
        <f>COUNTIFS(Реестр!$J$3:$J$122,"Высокое",Реестр!$K$3:$K$122,"Средний")</f>
        <v>1</v>
      </c>
      <c r="E7" s="17">
        <f>COUNTIFS(Реестр!$J$3:$J$122,"Высокое",Реестр!$K$3:$K$122,"Высокий")</f>
        <v>3</v>
      </c>
    </row>
    <row r="8" spans="2:5" ht="15.75" x14ac:dyDescent="0.25">
      <c r="B8" s="15" t="s">
        <v>97</v>
      </c>
      <c r="C8" s="18">
        <f>COUNTIFS(Реестр!$J$3:$J$122,"Среднее",Реестр!$K$3:$K$122,"Низкий")</f>
        <v>0</v>
      </c>
      <c r="D8" s="18">
        <f>COUNTIFS(Реестр!$J$3:$J$122,"Среднее",Реестр!$K$3:$K$122,"Средний")</f>
        <v>1</v>
      </c>
      <c r="E8" s="16">
        <f>COUNTIFS(Реестр!$J$3:$J$122,"Среднее",Реестр!$K$3:$K$122,"Высокий")</f>
        <v>0</v>
      </c>
    </row>
    <row r="9" spans="2:5" ht="15.75" x14ac:dyDescent="0.25">
      <c r="B9" s="15" t="s">
        <v>116</v>
      </c>
      <c r="C9" s="18">
        <f>COUNTIFS(Реестр!$J$3:$J$122,"Низкое",Реестр!$K$3:$K$122,"Низкий")</f>
        <v>0</v>
      </c>
      <c r="D9" s="18">
        <f>COUNTIFS(Реестр!$J$3:$J$122,"Низкое",Реестр!$K$3:$K$122,"Средний")</f>
        <v>0</v>
      </c>
      <c r="E9" s="16">
        <f>COUNTIFS(Реестр!$J$3:$J$122,"Низкое",Реестр!$K$3:$K$122,"Высокий")</f>
        <v>0</v>
      </c>
    </row>
    <row r="11" spans="2:5" x14ac:dyDescent="0.25">
      <c r="B11" s="19" t="s">
        <v>117</v>
      </c>
    </row>
    <row r="12" spans="2:5" x14ac:dyDescent="0.25">
      <c r="B12" s="3" t="s">
        <v>118</v>
      </c>
      <c r="C12" s="20" t="s">
        <v>119</v>
      </c>
    </row>
    <row r="13" spans="2:5" x14ac:dyDescent="0.25">
      <c r="B13" s="3" t="s">
        <v>120</v>
      </c>
      <c r="C13" s="20" t="s">
        <v>121</v>
      </c>
    </row>
    <row r="14" spans="2:5" x14ac:dyDescent="0.25">
      <c r="B14" s="3" t="s">
        <v>122</v>
      </c>
      <c r="C14" s="20" t="s">
        <v>123</v>
      </c>
    </row>
    <row r="15" spans="2:5" x14ac:dyDescent="0.25">
      <c r="B15" s="3" t="s">
        <v>124</v>
      </c>
      <c r="C15" s="20" t="s">
        <v>125</v>
      </c>
    </row>
    <row r="17" spans="2:3" x14ac:dyDescent="0.25">
      <c r="B17" s="3" t="s">
        <v>126</v>
      </c>
      <c r="C17" s="21">
        <f>COUNTA(Реестр!$A$3:$A$122)</f>
        <v>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"/>
  <sheetViews>
    <sheetView showGridLines="0" zoomScaleNormal="100" workbookViewId="0">
      <selection activeCell="E21" sqref="E21"/>
    </sheetView>
  </sheetViews>
  <sheetFormatPr defaultColWidth="8.7109375" defaultRowHeight="15" x14ac:dyDescent="0.25"/>
  <cols>
    <col min="1" max="1" width="24" customWidth="1"/>
    <col min="2" max="5" width="18" customWidth="1"/>
    <col min="6" max="6" width="22" customWidth="1"/>
    <col min="7" max="8" width="18" customWidth="1"/>
  </cols>
  <sheetData>
    <row r="1" spans="1:8" x14ac:dyDescent="0.25">
      <c r="A1" s="10" t="s">
        <v>127</v>
      </c>
      <c r="B1" s="10" t="s">
        <v>37</v>
      </c>
      <c r="C1" s="10" t="s">
        <v>41</v>
      </c>
      <c r="D1" s="10" t="s">
        <v>42</v>
      </c>
      <c r="E1" s="10" t="s">
        <v>44</v>
      </c>
      <c r="F1" s="10" t="s">
        <v>128</v>
      </c>
      <c r="G1" s="10" t="s">
        <v>43</v>
      </c>
      <c r="H1" s="10" t="s">
        <v>50</v>
      </c>
    </row>
    <row r="2" spans="1:8" x14ac:dyDescent="0.25">
      <c r="A2" s="22" t="s">
        <v>55</v>
      </c>
      <c r="B2" s="22" t="s">
        <v>57</v>
      </c>
      <c r="C2" s="22" t="s">
        <v>61</v>
      </c>
      <c r="D2" s="22" t="s">
        <v>62</v>
      </c>
      <c r="E2" s="22" t="s">
        <v>64</v>
      </c>
      <c r="F2" s="22" t="s">
        <v>98</v>
      </c>
      <c r="G2" s="22" t="s">
        <v>63</v>
      </c>
      <c r="H2" s="22" t="s">
        <v>69</v>
      </c>
    </row>
    <row r="3" spans="1:8" x14ac:dyDescent="0.25">
      <c r="A3" s="22" t="s">
        <v>73</v>
      </c>
      <c r="B3" s="22" t="s">
        <v>106</v>
      </c>
      <c r="C3" s="22" t="s">
        <v>97</v>
      </c>
      <c r="D3" s="22" t="s">
        <v>86</v>
      </c>
      <c r="E3" s="22" t="s">
        <v>77</v>
      </c>
      <c r="F3" s="22" t="s">
        <v>88</v>
      </c>
      <c r="G3" s="22" t="s">
        <v>62</v>
      </c>
      <c r="H3" s="22" t="s">
        <v>129</v>
      </c>
    </row>
    <row r="4" spans="1:8" x14ac:dyDescent="0.25">
      <c r="A4" s="22" t="s">
        <v>82</v>
      </c>
      <c r="C4" s="22" t="s">
        <v>116</v>
      </c>
      <c r="D4" s="22" t="s">
        <v>115</v>
      </c>
      <c r="E4" s="22" t="s">
        <v>87</v>
      </c>
      <c r="F4" s="22" t="s">
        <v>78</v>
      </c>
      <c r="G4" s="22" t="s">
        <v>86</v>
      </c>
      <c r="H4" s="22" t="s">
        <v>130</v>
      </c>
    </row>
    <row r="5" spans="1:8" x14ac:dyDescent="0.25">
      <c r="A5" s="22" t="s">
        <v>131</v>
      </c>
      <c r="E5" s="22" t="s">
        <v>132</v>
      </c>
      <c r="F5" s="22" t="s">
        <v>65</v>
      </c>
      <c r="G5" s="22" t="s">
        <v>115</v>
      </c>
    </row>
    <row r="6" spans="1:8" x14ac:dyDescent="0.25">
      <c r="A6" s="22" t="s">
        <v>133</v>
      </c>
      <c r="F6" s="22" t="s">
        <v>66</v>
      </c>
    </row>
    <row r="7" spans="1:8" x14ac:dyDescent="0.25">
      <c r="A7" s="22" t="s">
        <v>134</v>
      </c>
    </row>
    <row r="8" spans="1:8" x14ac:dyDescent="0.25">
      <c r="A8" s="22" t="s">
        <v>94</v>
      </c>
    </row>
    <row r="9" spans="1:8" x14ac:dyDescent="0.25">
      <c r="A9" s="22" t="s">
        <v>135</v>
      </c>
    </row>
    <row r="10" spans="1:8" x14ac:dyDescent="0.25">
      <c r="A10" s="22" t="s">
        <v>136</v>
      </c>
    </row>
    <row r="11" spans="1:8" x14ac:dyDescent="0.25">
      <c r="A11" s="22" t="s">
        <v>137</v>
      </c>
    </row>
    <row r="12" spans="1:8" x14ac:dyDescent="0.25">
      <c r="A12" s="22" t="s">
        <v>104</v>
      </c>
    </row>
    <row r="13" spans="1:8" x14ac:dyDescent="0.25">
      <c r="A13" s="22" t="s">
        <v>138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showGridLines="0" zoomScaleNormal="100" workbookViewId="0">
      <selection activeCell="C26" sqref="C26"/>
    </sheetView>
  </sheetViews>
  <sheetFormatPr defaultColWidth="8.7109375" defaultRowHeight="15" x14ac:dyDescent="0.25"/>
  <cols>
    <col min="1" max="1" width="12" customWidth="1"/>
    <col min="2" max="2" width="16" customWidth="1"/>
    <col min="3" max="3" width="70" customWidth="1"/>
    <col min="4" max="4" width="24" customWidth="1"/>
  </cols>
  <sheetData>
    <row r="1" spans="1:4" ht="16.5" x14ac:dyDescent="0.25">
      <c r="A1" s="23" t="s">
        <v>139</v>
      </c>
    </row>
    <row r="2" spans="1:4" x14ac:dyDescent="0.25">
      <c r="A2" s="10" t="s">
        <v>140</v>
      </c>
      <c r="B2" s="10" t="s">
        <v>141</v>
      </c>
      <c r="C2" s="10" t="s">
        <v>142</v>
      </c>
      <c r="D2" s="10" t="s">
        <v>143</v>
      </c>
    </row>
    <row r="3" spans="1:4" x14ac:dyDescent="0.25">
      <c r="A3" s="24" t="s">
        <v>144</v>
      </c>
      <c r="B3" s="24" t="s">
        <v>70</v>
      </c>
      <c r="C3" s="24" t="s">
        <v>145</v>
      </c>
      <c r="D3" s="24" t="s">
        <v>146</v>
      </c>
    </row>
    <row r="4" spans="1:4" x14ac:dyDescent="0.25">
      <c r="A4" s="25"/>
      <c r="B4" s="25"/>
      <c r="C4" s="25"/>
      <c r="D4" s="25"/>
    </row>
    <row r="5" spans="1:4" x14ac:dyDescent="0.25">
      <c r="A5" s="25"/>
      <c r="B5" s="25"/>
      <c r="C5" s="25"/>
      <c r="D5" s="25"/>
    </row>
    <row r="6" spans="1:4" x14ac:dyDescent="0.25">
      <c r="A6" s="25"/>
      <c r="B6" s="25"/>
      <c r="C6" s="25"/>
      <c r="D6" s="25"/>
    </row>
    <row r="7" spans="1:4" x14ac:dyDescent="0.25">
      <c r="A7" s="25"/>
      <c r="B7" s="25"/>
      <c r="C7" s="25"/>
      <c r="D7" s="25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Инструкция</vt:lpstr>
      <vt:lpstr>Реестр</vt:lpstr>
      <vt:lpstr>Матрица влияние-интерес</vt:lpstr>
      <vt:lpstr>Справочники</vt:lpstr>
      <vt:lpstr>Журнал изменений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Руслан Халилов</cp:lastModifiedBy>
  <cp:revision>0</cp:revision>
  <dcterms:created xsi:type="dcterms:W3CDTF">2026-06-18T09:40:48Z</dcterms:created>
  <dcterms:modified xsi:type="dcterms:W3CDTF">2026-06-18T09:43:33Z</dcterms:modified>
  <dc:language>en-US</dc:language>
</cp:coreProperties>
</file>