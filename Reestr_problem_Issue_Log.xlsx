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C77CCF43-C0FF-4686-A6DF-AFD59C15FE4A}" xr6:coauthVersionLast="47" xr6:coauthVersionMax="47" xr10:uidLastSave="{00000000-0000-0000-0000-000000000000}"/>
  <bookViews>
    <workbookView xWindow="4035" yWindow="2535" windowWidth="25860" windowHeight="16530" tabRatio="500" activeTab="1" xr2:uid="{00000000-000D-0000-FFFF-FFFF00000000}"/>
  </bookViews>
  <sheets>
    <sheet name="Инструкция" sheetId="1" r:id="rId1"/>
    <sheet name="Реестр проблем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'Реестр проблем'!$A$2:$P$122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3" l="1"/>
  <c r="F23" i="3"/>
  <c r="F22" i="3"/>
  <c r="F21" i="3"/>
  <c r="F20" i="3"/>
  <c r="F19" i="3"/>
  <c r="F18" i="3"/>
  <c r="F17" i="3"/>
  <c r="F16" i="3"/>
  <c r="F15" i="3"/>
  <c r="C14" i="3"/>
  <c r="C13" i="3"/>
  <c r="C12" i="3"/>
  <c r="C11" i="3"/>
  <c r="F10" i="3"/>
  <c r="C10" i="3"/>
  <c r="F9" i="3"/>
  <c r="C9" i="3"/>
  <c r="F8" i="3"/>
  <c r="C8" i="3"/>
  <c r="F7" i="3"/>
  <c r="C7" i="3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C1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" authorId="0" shapeId="0" xr:uid="{00000000-0006-0000-0100-000001000000}">
      <text>
        <r>
          <rPr>
            <sz val="10"/>
            <rFont val="Arial"/>
            <family val="2"/>
          </rPr>
          <t>Если проблема — следствие сработавшего риска, укажите его ID из Реестра рисков (например, R-002).</t>
        </r>
      </text>
    </comment>
    <comment ref="M2" authorId="0" shapeId="0" xr:uid="{00000000-0006-0000-0100-000002000000}">
      <text>
        <r>
          <rPr>
            <sz val="10"/>
            <rFont val="Arial"/>
            <family val="2"/>
          </rPr>
          <t>Авто: «Просрочена» (красным), если открытая проблема просрочена по сроку решения.</t>
        </r>
      </text>
    </comment>
  </commentList>
</comments>
</file>

<file path=xl/sharedStrings.xml><?xml version="1.0" encoding="utf-8"?>
<sst xmlns="http://schemas.openxmlformats.org/spreadsheetml/2006/main" count="179" uniqueCount="122">
  <si>
    <t>РЕЕСТР ПРОБЛЕМ (ISSUE LOG)</t>
  </si>
  <si>
    <t>Issue Log — разработан на основе PMBOK Guide (8th edition)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</si>
  <si>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</si>
  <si>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</si>
  <si>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</si>
  <si>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</si>
  <si>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</si>
  <si>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</si>
  <si>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</si>
  <si>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</si>
  <si>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</si>
  <si>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[Руководитель проекта]</t>
  </si>
  <si>
    <t>Назначение</t>
  </si>
  <si>
    <t>Реестр служит для учёта и контроля разрешения проблем (issues) — событий и вопросов, которые уже возникли и требуют решения. В отличие от риска (потенциальное событие в Реестре рисков), проблема уже наступила. Проблема может быть следствием сработавшего риска — указывайте связь (R-ID).</t>
  </si>
  <si>
    <t>Риск или проблема?</t>
  </si>
  <si>
    <t>•  Риск — может произойти в будущем (вероятность &lt; 100%) → ведётся в Реестре рисков.</t>
  </si>
  <si>
    <t>•  Проблема — уже произошла, влияет на проект сейчас → ведётся здесь.</t>
  </si>
  <si>
    <t>•  Если риск реализовался, он закрывается в Реестре рисков как «реализовался» и заводится проблема со ссылкой на R-ID.</t>
  </si>
  <si>
    <t>Состав листов</t>
  </si>
  <si>
    <t>Реестр проблем</t>
  </si>
  <si>
    <t>Основной журнал. Одна строка — одна проблема.</t>
  </si>
  <si>
    <t>Сводка</t>
  </si>
  <si>
    <t>Аналитика по статусам, приоритету, типу; контроль просроченных.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</si>
  <si>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</si>
  <si>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</si>
  <si>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</si>
  <si>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</si>
  <si>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</si>
  <si>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ID присваивается при регистрации (ISS-NNN). Описывайте проблему и её влияние конкретно.</t>
  </si>
  <si>
    <t>•  Приоритет определяет срочность; назначайте владельца и срок решения.</t>
  </si>
  <si>
    <t>•  Эскалация: проблемы высокого приоритета или просроченные передаются в УК (см. План управления, р.15).</t>
  </si>
  <si>
    <t>•  Поле «Контроль срока» подсветит просроченные открытые проблемы.</t>
  </si>
  <si>
    <t>•  При закрытии фиксируйте принятое решение и дату.</t>
  </si>
  <si>
    <t>Реестр проблем (Issue Log)</t>
  </si>
  <si>
    <t>ISS ID</t>
  </si>
  <si>
    <t>Дата выявления</t>
  </si>
  <si>
    <t>Кто выявил</t>
  </si>
  <si>
    <t>Описание проблемы</t>
  </si>
  <si>
    <t>Тип</t>
  </si>
  <si>
    <t>Влияние на проект</t>
  </si>
  <si>
    <t>Приоритет</t>
  </si>
  <si>
    <t>Связ. риск (R-ID)</t>
  </si>
  <si>
    <t>Владелец</t>
  </si>
  <si>
    <t>Уровень решения</t>
  </si>
  <si>
    <t>План действий / решение</t>
  </si>
  <si>
    <t>Срок решения</t>
  </si>
  <si>
    <t>Контроль срока</t>
  </si>
  <si>
    <t>Статус</t>
  </si>
  <si>
    <t>Дата закрытия</t>
  </si>
  <si>
    <t>Примечание</t>
  </si>
  <si>
    <t>ISS-001</t>
  </si>
  <si>
    <t>[ФИО]</t>
  </si>
  <si>
    <t>Эксперт финслужбы не выделен на проект, согласования простаивают</t>
  </si>
  <si>
    <t>Ресурсная</t>
  </si>
  <si>
    <t>Задержка фазы обследования</t>
  </si>
  <si>
    <t>Высокий</t>
  </si>
  <si>
    <t>R-001</t>
  </si>
  <si>
    <t>[РП]</t>
  </si>
  <si>
    <t>Управляющий комитет</t>
  </si>
  <si>
    <t>Эскалация спонсору; закрепление эксперта приказом</t>
  </si>
  <si>
    <t>Эскалирована</t>
  </si>
  <si>
    <t>Связано с риском R-001</t>
  </si>
  <si>
    <t>ISS-002</t>
  </si>
  <si>
    <t>В выгрузке из источника обнаружены дубли контрагентов (~[N]%)</t>
  </si>
  <si>
    <t>Данные/качество</t>
  </si>
  <si>
    <t>Риск ошибок миграции и консолидации</t>
  </si>
  <si>
    <t>R-002</t>
  </si>
  <si>
    <t>[Архитектор данных]</t>
  </si>
  <si>
    <t>Рабочая группа</t>
  </si>
  <si>
    <t>Дедупликация по правилам НСИ до пробной миграции</t>
  </si>
  <si>
    <t>В работе</t>
  </si>
  <si>
    <t>Передано владельцу НСИ</t>
  </si>
  <si>
    <t>ISS-003</t>
  </si>
  <si>
    <t>Стенд смежной системы (MES) недоступен для интеграционных тестов</t>
  </si>
  <si>
    <t>Интеграции</t>
  </si>
  <si>
    <t>Блокирует тестирование интеграции</t>
  </si>
  <si>
    <t>Критический</t>
  </si>
  <si>
    <t>R-003</t>
  </si>
  <si>
    <t>[Архитектор]</t>
  </si>
  <si>
    <t>Внешняя сторона</t>
  </si>
  <si>
    <t>Запрос владельцу системы; согласование окна доступа</t>
  </si>
  <si>
    <t>Ожидает (внешнее)</t>
  </si>
  <si>
    <t>Зависимость от внешней стороны</t>
  </si>
  <si>
    <t>ISS-004</t>
  </si>
  <si>
    <t>Расхождение в трактовке методики расчёта себестоимости</t>
  </si>
  <si>
    <t>Требования</t>
  </si>
  <si>
    <t>Переделки при разработке</t>
  </si>
  <si>
    <t>Средний</t>
  </si>
  <si>
    <t>[Аналитик (производство)]</t>
  </si>
  <si>
    <t>Воркшоп с владельцем процесса; зафиксировать в ЧТЗ</t>
  </si>
  <si>
    <t>Решена</t>
  </si>
  <si>
    <t>Оформлено через CR-002</t>
  </si>
  <si>
    <t>Сводка по проблемам</t>
  </si>
  <si>
    <t>Считается автоматически по листу «Реестр проблем».</t>
  </si>
  <si>
    <t>По статусу</t>
  </si>
  <si>
    <t>По приоритету</t>
  </si>
  <si>
    <t>Кол-во</t>
  </si>
  <si>
    <t>Открыта</t>
  </si>
  <si>
    <t>Низкий</t>
  </si>
  <si>
    <t>Закрыта</t>
  </si>
  <si>
    <t>Отклонена</t>
  </si>
  <si>
    <t>По типу</t>
  </si>
  <si>
    <t>Всего проблем</t>
  </si>
  <si>
    <t>Просрочено (открытых)</t>
  </si>
  <si>
    <t>Организационная</t>
  </si>
  <si>
    <t>Техническая</t>
  </si>
  <si>
    <t>НСИ</t>
  </si>
  <si>
    <t>Миграция</t>
  </si>
  <si>
    <t>Внешняя/поставщик</t>
  </si>
  <si>
    <t>Бюджет/сроки</t>
  </si>
  <si>
    <t>Тип проблемы</t>
  </si>
  <si>
    <t>РП</t>
  </si>
  <si>
    <t>Спонсор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</si>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</sst>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sz val="10"/>
      <name val="Arial"/>
      <family val="2"/>
    </font>
    <font>
      <b/>
      <sz val="11"/>
      <color rgb="FF1F4E79"/>
      <name val="Arial"/>
      <charset val="1"/>
    </font>
    <font>
      <b/>
      <sz val="11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0" xfId="0" applyFont="1"/>
    <xf numFmtId="0" fontId="9" fillId="0" borderId="1" xfId="0" applyFont="1" applyBorder="1"/>
    <xf numFmtId="0" fontId="14" fillId="0" borderId="1" xfId="0" applyFont="1" applyBorder="1"/>
  </cellXfs>
  <cellStyles count="1">
    <cellStyle name="Обычный" xfId="0" builtinId="0"/>
  </cellStyles>
  <dxfs count="6">
    <dxf>
      <font>
        <b/>
        <color rgb="FFFFFFFF"/>
      </font>
      <fill>
        <patternFill>
          <bgColor rgb="FFC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"/>
  <sheetViews>
    <sheetView showGridLines="0" zoomScaleNormal="100" workbookViewId="0">
      <selection activeCell="C17" sqref="C17"/>
    </sheetView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55.5" customHeight="1" x14ac:dyDescent="0.25">
      <c r="C12" s="6" t="s">
        <v>13</v>
      </c>
    </row>
    <row r="14" spans="2:3" ht="15.75" x14ac:dyDescent="0.25">
      <c r="B14" s="5" t="s">
        <v>14</v>
      </c>
    </row>
    <row r="15" spans="2:3" ht="25.5" customHeight="1" x14ac:dyDescent="0.25">
      <c r="C15" s="7" t="s">
        <v>15</v>
      </c>
    </row>
    <row r="16" spans="2:3" ht="25.5" customHeight="1" x14ac:dyDescent="0.25">
      <c r="C16" s="7" t="s">
        <v>16</v>
      </c>
    </row>
    <row r="17" spans="2:3" ht="25.5" customHeight="1" x14ac:dyDescent="0.25">
      <c r="C17" s="7" t="s">
        <v>17</v>
      </c>
    </row>
    <row r="19" spans="2:3" ht="15.75" x14ac:dyDescent="0.25">
      <c r="B19" s="5" t="s">
        <v>18</v>
      </c>
    </row>
    <row r="20" spans="2:3" x14ac:dyDescent="0.25">
      <c r="B20" s="3" t="s">
        <v>19</v>
      </c>
      <c r="C20" s="7" t="s">
        <v>20</v>
      </c>
    </row>
    <row r="21" spans="2:3" x14ac:dyDescent="0.25">
      <c r="B21" s="3" t="s">
        <v>21</v>
      </c>
      <c r="C21" s="7" t="s">
        <v>22</v>
      </c>
    </row>
    <row r="22" spans="2:3" x14ac:dyDescent="0.25">
      <c r="B22" s="3" t="s">
        <v>23</v>
      </c>
      <c r="C22" s="7" t="s">
        <v>24</v>
      </c>
    </row>
    <row r="23" spans="2:3" x14ac:dyDescent="0.25">
      <c r="B23" s="3" t="s">
        <v>25</v>
      </c>
      <c r="C23" s="7" t="s">
        <v>26</v>
      </c>
    </row>
    <row r="25" spans="2:3" ht="15.75" x14ac:dyDescent="0.25">
      <c r="B25" s="5" t="s">
        <v>27</v>
      </c>
    </row>
    <row r="26" spans="2:3" ht="27.75" customHeight="1" x14ac:dyDescent="0.25">
      <c r="C26" s="7" t="s">
        <v>28</v>
      </c>
    </row>
    <row r="27" spans="2:3" ht="27.75" customHeight="1" x14ac:dyDescent="0.25">
      <c r="C27" s="7" t="s">
        <v>29</v>
      </c>
    </row>
    <row r="28" spans="2:3" ht="27.75" customHeight="1" x14ac:dyDescent="0.25">
      <c r="C28" s="7" t="s">
        <v>30</v>
      </c>
    </row>
    <row r="29" spans="2:3" ht="27.75" customHeight="1" x14ac:dyDescent="0.25">
      <c r="C29" s="7" t="s">
        <v>31</v>
      </c>
    </row>
    <row r="30" spans="2:3" ht="27.75" customHeight="1" x14ac:dyDescent="0.25">
      <c r="C30" s="7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9" sqref="K9"/>
    </sheetView>
  </sheetViews>
  <sheetFormatPr defaultColWidth="8.7109375" defaultRowHeight="15" x14ac:dyDescent="0.25"/>
  <cols>
    <col min="1" max="1" width="9" customWidth="1"/>
    <col min="2" max="2" width="13" customWidth="1"/>
    <col min="3" max="3" width="16" customWidth="1"/>
    <col min="4" max="4" width="38" customWidth="1"/>
    <col min="5" max="5" width="18" customWidth="1"/>
    <col min="6" max="6" width="28" customWidth="1"/>
    <col min="7" max="8" width="13" customWidth="1"/>
    <col min="9" max="10" width="16" customWidth="1"/>
    <col min="11" max="11" width="34" customWidth="1"/>
    <col min="12" max="13" width="13" customWidth="1"/>
    <col min="14" max="14" width="15" customWidth="1"/>
    <col min="15" max="15" width="13" customWidth="1"/>
    <col min="16" max="16" width="22" customWidth="1"/>
  </cols>
  <sheetData>
    <row r="1" spans="1:16" ht="18" x14ac:dyDescent="0.25">
      <c r="A1" s="8" t="s">
        <v>33</v>
      </c>
    </row>
    <row r="2" spans="1:16" ht="39.75" customHeight="1" x14ac:dyDescent="0.25">
      <c r="A2" s="9" t="s">
        <v>34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  <c r="G2" s="9" t="s">
        <v>40</v>
      </c>
      <c r="H2" s="9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9" t="s">
        <v>48</v>
      </c>
      <c r="P2" s="9" t="s">
        <v>49</v>
      </c>
    </row>
    <row r="3" spans="1:16" ht="25.5" x14ac:dyDescent="0.25">
      <c r="A3" s="10" t="s">
        <v>50</v>
      </c>
      <c r="B3" s="10" t="s">
        <v>9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  <c r="H3" s="10" t="s">
        <v>56</v>
      </c>
      <c r="I3" s="10" t="s">
        <v>57</v>
      </c>
      <c r="J3" s="10" t="s">
        <v>58</v>
      </c>
      <c r="K3" s="10" t="s">
        <v>59</v>
      </c>
      <c r="L3" s="10" t="s">
        <v>9</v>
      </c>
      <c r="M3" s="11" t="str">
        <f t="shared" ref="M3:M34" ca="1" si="0">IFERROR(IF(A3="","",IF(OR(N3="Закрыта",N3="Решена",N3="Отклонена"),"—",IF(N(L3)=0,"",IF(TODAY()&gt;L3,"Просрочена","В срок")))),"")</f>
        <v/>
      </c>
      <c r="N3" s="10" t="s">
        <v>60</v>
      </c>
      <c r="O3" s="10"/>
      <c r="P3" s="10" t="s">
        <v>61</v>
      </c>
    </row>
    <row r="4" spans="1:16" ht="25.5" x14ac:dyDescent="0.25">
      <c r="A4" s="10" t="s">
        <v>62</v>
      </c>
      <c r="B4" s="10" t="s">
        <v>9</v>
      </c>
      <c r="C4" s="10" t="s">
        <v>51</v>
      </c>
      <c r="D4" s="10" t="s">
        <v>63</v>
      </c>
      <c r="E4" s="10" t="s">
        <v>64</v>
      </c>
      <c r="F4" s="10" t="s">
        <v>65</v>
      </c>
      <c r="G4" s="10" t="s">
        <v>55</v>
      </c>
      <c r="H4" s="10" t="s">
        <v>66</v>
      </c>
      <c r="I4" s="10" t="s">
        <v>67</v>
      </c>
      <c r="J4" s="10" t="s">
        <v>68</v>
      </c>
      <c r="K4" s="10" t="s">
        <v>69</v>
      </c>
      <c r="L4" s="10" t="s">
        <v>9</v>
      </c>
      <c r="M4" s="11" t="str">
        <f t="shared" ca="1" si="0"/>
        <v/>
      </c>
      <c r="N4" s="10" t="s">
        <v>70</v>
      </c>
      <c r="O4" s="10"/>
      <c r="P4" s="10" t="s">
        <v>71</v>
      </c>
    </row>
    <row r="5" spans="1:16" ht="38.25" x14ac:dyDescent="0.25">
      <c r="A5" s="10" t="s">
        <v>72</v>
      </c>
      <c r="B5" s="10" t="s">
        <v>9</v>
      </c>
      <c r="C5" s="10" t="s">
        <v>51</v>
      </c>
      <c r="D5" s="10" t="s">
        <v>73</v>
      </c>
      <c r="E5" s="10" t="s">
        <v>74</v>
      </c>
      <c r="F5" s="10" t="s">
        <v>75</v>
      </c>
      <c r="G5" s="10" t="s">
        <v>76</v>
      </c>
      <c r="H5" s="10" t="s">
        <v>77</v>
      </c>
      <c r="I5" s="10" t="s">
        <v>78</v>
      </c>
      <c r="J5" s="10" t="s">
        <v>79</v>
      </c>
      <c r="K5" s="10" t="s">
        <v>80</v>
      </c>
      <c r="L5" s="10" t="s">
        <v>9</v>
      </c>
      <c r="M5" s="11" t="str">
        <f t="shared" ca="1" si="0"/>
        <v/>
      </c>
      <c r="N5" s="10" t="s">
        <v>81</v>
      </c>
      <c r="O5" s="10"/>
      <c r="P5" s="10" t="s">
        <v>82</v>
      </c>
    </row>
    <row r="6" spans="1:16" ht="25.5" x14ac:dyDescent="0.25">
      <c r="A6" s="10" t="s">
        <v>83</v>
      </c>
      <c r="B6" s="10" t="s">
        <v>9</v>
      </c>
      <c r="C6" s="10" t="s">
        <v>51</v>
      </c>
      <c r="D6" s="10" t="s">
        <v>84</v>
      </c>
      <c r="E6" s="10" t="s">
        <v>85</v>
      </c>
      <c r="F6" s="10" t="s">
        <v>86</v>
      </c>
      <c r="G6" s="10" t="s">
        <v>87</v>
      </c>
      <c r="H6" s="10"/>
      <c r="I6" s="10" t="s">
        <v>88</v>
      </c>
      <c r="J6" s="10" t="s">
        <v>68</v>
      </c>
      <c r="K6" s="10" t="s">
        <v>89</v>
      </c>
      <c r="L6" s="10" t="s">
        <v>9</v>
      </c>
      <c r="M6" s="11" t="str">
        <f t="shared" ca="1" si="0"/>
        <v>—</v>
      </c>
      <c r="N6" s="10" t="s">
        <v>90</v>
      </c>
      <c r="O6" s="10" t="s">
        <v>9</v>
      </c>
      <c r="P6" s="10" t="s">
        <v>91</v>
      </c>
    </row>
    <row r="7" spans="1:16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1" t="str">
        <f t="shared" ca="1" si="0"/>
        <v/>
      </c>
      <c r="N7" s="12"/>
      <c r="O7" s="12"/>
      <c r="P7" s="12"/>
    </row>
    <row r="8" spans="1:16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1" t="str">
        <f t="shared" ca="1" si="0"/>
        <v/>
      </c>
      <c r="N8" s="12"/>
      <c r="O8" s="12"/>
      <c r="P8" s="12"/>
    </row>
    <row r="9" spans="1:16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1" t="str">
        <f t="shared" ca="1" si="0"/>
        <v/>
      </c>
      <c r="N9" s="12"/>
      <c r="O9" s="12"/>
      <c r="P9" s="12"/>
    </row>
    <row r="10" spans="1:16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1" t="str">
        <f t="shared" ca="1" si="0"/>
        <v/>
      </c>
      <c r="N10" s="12"/>
      <c r="O10" s="12"/>
      <c r="P10" s="12"/>
    </row>
    <row r="11" spans="1:16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1" t="str">
        <f t="shared" ca="1" si="0"/>
        <v/>
      </c>
      <c r="N11" s="12"/>
      <c r="O11" s="12"/>
      <c r="P11" s="12"/>
    </row>
    <row r="12" spans="1:16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1" t="str">
        <f t="shared" ca="1" si="0"/>
        <v/>
      </c>
      <c r="N12" s="12"/>
      <c r="O12" s="12"/>
      <c r="P12" s="12"/>
    </row>
    <row r="13" spans="1:16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1" t="str">
        <f t="shared" ca="1" si="0"/>
        <v/>
      </c>
      <c r="N13" s="12"/>
      <c r="O13" s="12"/>
      <c r="P13" s="12"/>
    </row>
    <row r="14" spans="1:16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1" t="str">
        <f t="shared" ca="1" si="0"/>
        <v/>
      </c>
      <c r="N14" s="12"/>
      <c r="O14" s="12"/>
      <c r="P14" s="12"/>
    </row>
    <row r="15" spans="1:16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1" t="str">
        <f t="shared" ca="1" si="0"/>
        <v/>
      </c>
      <c r="N15" s="12"/>
      <c r="O15" s="12"/>
      <c r="P15" s="12"/>
    </row>
    <row r="16" spans="1:16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1" t="str">
        <f t="shared" ca="1" si="0"/>
        <v/>
      </c>
      <c r="N16" s="12"/>
      <c r="O16" s="12"/>
      <c r="P16" s="12"/>
    </row>
    <row r="17" spans="1:16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1" t="str">
        <f t="shared" ca="1" si="0"/>
        <v/>
      </c>
      <c r="N17" s="12"/>
      <c r="O17" s="12"/>
      <c r="P17" s="12"/>
    </row>
    <row r="18" spans="1:16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1" t="str">
        <f t="shared" ca="1" si="0"/>
        <v/>
      </c>
      <c r="N18" s="12"/>
      <c r="O18" s="12"/>
      <c r="P18" s="12"/>
    </row>
    <row r="19" spans="1:16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1" t="str">
        <f t="shared" ca="1" si="0"/>
        <v/>
      </c>
      <c r="N19" s="12"/>
      <c r="O19" s="12"/>
      <c r="P19" s="12"/>
    </row>
    <row r="20" spans="1:16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1" t="str">
        <f t="shared" ca="1" si="0"/>
        <v/>
      </c>
      <c r="N20" s="12"/>
      <c r="O20" s="12"/>
      <c r="P20" s="12"/>
    </row>
    <row r="21" spans="1:16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1" t="str">
        <f t="shared" ca="1" si="0"/>
        <v/>
      </c>
      <c r="N21" s="12"/>
      <c r="O21" s="12"/>
      <c r="P21" s="12"/>
    </row>
    <row r="22" spans="1:16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1" t="str">
        <f t="shared" ca="1" si="0"/>
        <v/>
      </c>
      <c r="N22" s="12"/>
      <c r="O22" s="12"/>
      <c r="P22" s="12"/>
    </row>
    <row r="23" spans="1:16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1" t="str">
        <f t="shared" ca="1" si="0"/>
        <v/>
      </c>
      <c r="N23" s="12"/>
      <c r="O23" s="12"/>
      <c r="P23" s="12"/>
    </row>
    <row r="24" spans="1:16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1" t="str">
        <f t="shared" ca="1" si="0"/>
        <v/>
      </c>
      <c r="N24" s="12"/>
      <c r="O24" s="12"/>
      <c r="P24" s="12"/>
    </row>
    <row r="25" spans="1:16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1" t="str">
        <f t="shared" ca="1" si="0"/>
        <v/>
      </c>
      <c r="N25" s="12"/>
      <c r="O25" s="12"/>
      <c r="P25" s="12"/>
    </row>
    <row r="26" spans="1:16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1" t="str">
        <f t="shared" ca="1" si="0"/>
        <v/>
      </c>
      <c r="N26" s="12"/>
      <c r="O26" s="12"/>
      <c r="P26" s="12"/>
    </row>
    <row r="27" spans="1:16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1" t="str">
        <f t="shared" ca="1" si="0"/>
        <v/>
      </c>
      <c r="N27" s="12"/>
      <c r="O27" s="12"/>
      <c r="P27" s="12"/>
    </row>
    <row r="28" spans="1:16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1" t="str">
        <f t="shared" ca="1" si="0"/>
        <v/>
      </c>
      <c r="N28" s="12"/>
      <c r="O28" s="12"/>
      <c r="P28" s="12"/>
    </row>
    <row r="29" spans="1:16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1" t="str">
        <f t="shared" ca="1" si="0"/>
        <v/>
      </c>
      <c r="N29" s="12"/>
      <c r="O29" s="12"/>
      <c r="P29" s="12"/>
    </row>
    <row r="30" spans="1:16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1" t="str">
        <f t="shared" ca="1" si="0"/>
        <v/>
      </c>
      <c r="N30" s="12"/>
      <c r="O30" s="12"/>
      <c r="P30" s="12"/>
    </row>
    <row r="31" spans="1:16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1" t="str">
        <f t="shared" ca="1" si="0"/>
        <v/>
      </c>
      <c r="N31" s="12"/>
      <c r="O31" s="12"/>
      <c r="P31" s="12"/>
    </row>
    <row r="32" spans="1:16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1" t="str">
        <f t="shared" ca="1" si="0"/>
        <v/>
      </c>
      <c r="N32" s="12"/>
      <c r="O32" s="12"/>
      <c r="P32" s="12"/>
    </row>
    <row r="33" spans="1:16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1" t="str">
        <f t="shared" ca="1" si="0"/>
        <v/>
      </c>
      <c r="N33" s="12"/>
      <c r="O33" s="12"/>
      <c r="P33" s="12"/>
    </row>
    <row r="34" spans="1:16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1" t="str">
        <f t="shared" ca="1" si="0"/>
        <v/>
      </c>
      <c r="N34" s="12"/>
      <c r="O34" s="12"/>
      <c r="P34" s="12"/>
    </row>
    <row r="35" spans="1:16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1" t="str">
        <f t="shared" ref="M35:M66" ca="1" si="1">IFERROR(IF(A35="","",IF(OR(N35="Закрыта",N35="Решена",N35="Отклонена"),"—",IF(N(L35)=0,"",IF(TODAY()&gt;L35,"Просрочена","В срок")))),"")</f>
        <v/>
      </c>
      <c r="N35" s="12"/>
      <c r="O35" s="12"/>
      <c r="P35" s="12"/>
    </row>
    <row r="36" spans="1:16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1" t="str">
        <f t="shared" ca="1" si="1"/>
        <v/>
      </c>
      <c r="N36" s="12"/>
      <c r="O36" s="12"/>
      <c r="P36" s="12"/>
    </row>
    <row r="37" spans="1:16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1" t="str">
        <f t="shared" ca="1" si="1"/>
        <v/>
      </c>
      <c r="N37" s="12"/>
      <c r="O37" s="12"/>
      <c r="P37" s="12"/>
    </row>
    <row r="38" spans="1:16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1" t="str">
        <f t="shared" ca="1" si="1"/>
        <v/>
      </c>
      <c r="N38" s="12"/>
      <c r="O38" s="12"/>
      <c r="P38" s="12"/>
    </row>
    <row r="39" spans="1:16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1" t="str">
        <f t="shared" ca="1" si="1"/>
        <v/>
      </c>
      <c r="N39" s="12"/>
      <c r="O39" s="12"/>
      <c r="P39" s="12"/>
    </row>
    <row r="40" spans="1:16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1" t="str">
        <f t="shared" ca="1" si="1"/>
        <v/>
      </c>
      <c r="N40" s="12"/>
      <c r="O40" s="12"/>
      <c r="P40" s="12"/>
    </row>
    <row r="41" spans="1:16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1" t="str">
        <f t="shared" ca="1" si="1"/>
        <v/>
      </c>
      <c r="N41" s="12"/>
      <c r="O41" s="12"/>
      <c r="P41" s="12"/>
    </row>
    <row r="42" spans="1:16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1" t="str">
        <f t="shared" ca="1" si="1"/>
        <v/>
      </c>
      <c r="N42" s="12"/>
      <c r="O42" s="12"/>
      <c r="P42" s="12"/>
    </row>
    <row r="43" spans="1:16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1" t="str">
        <f t="shared" ca="1" si="1"/>
        <v/>
      </c>
      <c r="N43" s="12"/>
      <c r="O43" s="12"/>
      <c r="P43" s="12"/>
    </row>
    <row r="44" spans="1:16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1" t="str">
        <f t="shared" ca="1" si="1"/>
        <v/>
      </c>
      <c r="N44" s="12"/>
      <c r="O44" s="12"/>
      <c r="P44" s="12"/>
    </row>
    <row r="45" spans="1:16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1" t="str">
        <f t="shared" ca="1" si="1"/>
        <v/>
      </c>
      <c r="N45" s="12"/>
      <c r="O45" s="12"/>
      <c r="P45" s="12"/>
    </row>
    <row r="46" spans="1:16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1" t="str">
        <f t="shared" ca="1" si="1"/>
        <v/>
      </c>
      <c r="N46" s="12"/>
      <c r="O46" s="12"/>
      <c r="P46" s="12"/>
    </row>
    <row r="47" spans="1:16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1" t="str">
        <f t="shared" ca="1" si="1"/>
        <v/>
      </c>
      <c r="N47" s="12"/>
      <c r="O47" s="12"/>
      <c r="P47" s="12"/>
    </row>
    <row r="48" spans="1:16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1" t="str">
        <f t="shared" ca="1" si="1"/>
        <v/>
      </c>
      <c r="N48" s="12"/>
      <c r="O48" s="12"/>
      <c r="P48" s="12"/>
    </row>
    <row r="49" spans="1:16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1" t="str">
        <f t="shared" ca="1" si="1"/>
        <v/>
      </c>
      <c r="N49" s="12"/>
      <c r="O49" s="12"/>
      <c r="P49" s="12"/>
    </row>
    <row r="50" spans="1:16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1" t="str">
        <f t="shared" ca="1" si="1"/>
        <v/>
      </c>
      <c r="N50" s="12"/>
      <c r="O50" s="12"/>
      <c r="P50" s="12"/>
    </row>
    <row r="51" spans="1:16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1" t="str">
        <f t="shared" ca="1" si="1"/>
        <v/>
      </c>
      <c r="N51" s="12"/>
      <c r="O51" s="12"/>
      <c r="P51" s="12"/>
    </row>
    <row r="52" spans="1:16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1" t="str">
        <f t="shared" ca="1" si="1"/>
        <v/>
      </c>
      <c r="N52" s="12"/>
      <c r="O52" s="12"/>
      <c r="P52" s="12"/>
    </row>
    <row r="53" spans="1:16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1" t="str">
        <f t="shared" ca="1" si="1"/>
        <v/>
      </c>
      <c r="N53" s="12"/>
      <c r="O53" s="12"/>
      <c r="P53" s="12"/>
    </row>
    <row r="54" spans="1:16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1" t="str">
        <f t="shared" ca="1" si="1"/>
        <v/>
      </c>
      <c r="N54" s="12"/>
      <c r="O54" s="12"/>
      <c r="P54" s="12"/>
    </row>
    <row r="55" spans="1:16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1" t="str">
        <f t="shared" ca="1" si="1"/>
        <v/>
      </c>
      <c r="N55" s="12"/>
      <c r="O55" s="12"/>
      <c r="P55" s="12"/>
    </row>
    <row r="56" spans="1:16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1" t="str">
        <f t="shared" ca="1" si="1"/>
        <v/>
      </c>
      <c r="N56" s="12"/>
      <c r="O56" s="12"/>
      <c r="P56" s="12"/>
    </row>
    <row r="57" spans="1:16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1" t="str">
        <f t="shared" ca="1" si="1"/>
        <v/>
      </c>
      <c r="N57" s="12"/>
      <c r="O57" s="12"/>
      <c r="P57" s="12"/>
    </row>
    <row r="58" spans="1:16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1" t="str">
        <f t="shared" ca="1" si="1"/>
        <v/>
      </c>
      <c r="N58" s="12"/>
      <c r="O58" s="12"/>
      <c r="P58" s="12"/>
    </row>
    <row r="59" spans="1:16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1" t="str">
        <f t="shared" ca="1" si="1"/>
        <v/>
      </c>
      <c r="N59" s="12"/>
      <c r="O59" s="12"/>
      <c r="P59" s="12"/>
    </row>
    <row r="60" spans="1:16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1" t="str">
        <f t="shared" ca="1" si="1"/>
        <v/>
      </c>
      <c r="N60" s="12"/>
      <c r="O60" s="12"/>
      <c r="P60" s="12"/>
    </row>
    <row r="61" spans="1:16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1" t="str">
        <f t="shared" ca="1" si="1"/>
        <v/>
      </c>
      <c r="N61" s="12"/>
      <c r="O61" s="12"/>
      <c r="P61" s="12"/>
    </row>
    <row r="62" spans="1:16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1" t="str">
        <f t="shared" ca="1" si="1"/>
        <v/>
      </c>
      <c r="N62" s="12"/>
      <c r="O62" s="12"/>
      <c r="P62" s="12"/>
    </row>
    <row r="63" spans="1:16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1" t="str">
        <f t="shared" ca="1" si="1"/>
        <v/>
      </c>
      <c r="N63" s="12"/>
      <c r="O63" s="12"/>
      <c r="P63" s="12"/>
    </row>
    <row r="64" spans="1:16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1" t="str">
        <f t="shared" ca="1" si="1"/>
        <v/>
      </c>
      <c r="N64" s="12"/>
      <c r="O64" s="12"/>
      <c r="P64" s="12"/>
    </row>
    <row r="65" spans="1:16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1" t="str">
        <f t="shared" ca="1" si="1"/>
        <v/>
      </c>
      <c r="N65" s="12"/>
      <c r="O65" s="12"/>
      <c r="P65" s="12"/>
    </row>
    <row r="66" spans="1:16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1" t="str">
        <f t="shared" ca="1" si="1"/>
        <v/>
      </c>
      <c r="N66" s="12"/>
      <c r="O66" s="12"/>
      <c r="P66" s="12"/>
    </row>
    <row r="67" spans="1:16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1" t="str">
        <f t="shared" ref="M67:M98" ca="1" si="2">IFERROR(IF(A67="","",IF(OR(N67="Закрыта",N67="Решена",N67="Отклонена"),"—",IF(N(L67)=0,"",IF(TODAY()&gt;L67,"Просрочена","В срок")))),"")</f>
        <v/>
      </c>
      <c r="N67" s="12"/>
      <c r="O67" s="12"/>
      <c r="P67" s="12"/>
    </row>
    <row r="68" spans="1:16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1" t="str">
        <f t="shared" ca="1" si="2"/>
        <v/>
      </c>
      <c r="N68" s="12"/>
      <c r="O68" s="12"/>
      <c r="P68" s="12"/>
    </row>
    <row r="69" spans="1:16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1" t="str">
        <f t="shared" ca="1" si="2"/>
        <v/>
      </c>
      <c r="N69" s="12"/>
      <c r="O69" s="12"/>
      <c r="P69" s="12"/>
    </row>
    <row r="70" spans="1:16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1" t="str">
        <f t="shared" ca="1" si="2"/>
        <v/>
      </c>
      <c r="N70" s="12"/>
      <c r="O70" s="12"/>
      <c r="P70" s="12"/>
    </row>
    <row r="71" spans="1:16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1" t="str">
        <f t="shared" ca="1" si="2"/>
        <v/>
      </c>
      <c r="N71" s="12"/>
      <c r="O71" s="12"/>
      <c r="P71" s="12"/>
    </row>
    <row r="72" spans="1:16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1" t="str">
        <f t="shared" ca="1" si="2"/>
        <v/>
      </c>
      <c r="N72" s="12"/>
      <c r="O72" s="12"/>
      <c r="P72" s="12"/>
    </row>
    <row r="73" spans="1:16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1" t="str">
        <f t="shared" ca="1" si="2"/>
        <v/>
      </c>
      <c r="N73" s="12"/>
      <c r="O73" s="12"/>
      <c r="P73" s="12"/>
    </row>
    <row r="74" spans="1:16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1" t="str">
        <f t="shared" ca="1" si="2"/>
        <v/>
      </c>
      <c r="N74" s="12"/>
      <c r="O74" s="12"/>
      <c r="P74" s="12"/>
    </row>
    <row r="75" spans="1:16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1" t="str">
        <f t="shared" ca="1" si="2"/>
        <v/>
      </c>
      <c r="N75" s="12"/>
      <c r="O75" s="12"/>
      <c r="P75" s="12"/>
    </row>
    <row r="76" spans="1:16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1" t="str">
        <f t="shared" ca="1" si="2"/>
        <v/>
      </c>
      <c r="N76" s="12"/>
      <c r="O76" s="12"/>
      <c r="P76" s="12"/>
    </row>
    <row r="77" spans="1:16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1" t="str">
        <f t="shared" ca="1" si="2"/>
        <v/>
      </c>
      <c r="N77" s="12"/>
      <c r="O77" s="12"/>
      <c r="P77" s="12"/>
    </row>
    <row r="78" spans="1:16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1" t="str">
        <f t="shared" ca="1" si="2"/>
        <v/>
      </c>
      <c r="N78" s="12"/>
      <c r="O78" s="12"/>
      <c r="P78" s="12"/>
    </row>
    <row r="79" spans="1:16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1" t="str">
        <f t="shared" ca="1" si="2"/>
        <v/>
      </c>
      <c r="N79" s="12"/>
      <c r="O79" s="12"/>
      <c r="P79" s="12"/>
    </row>
    <row r="80" spans="1:16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1" t="str">
        <f t="shared" ca="1" si="2"/>
        <v/>
      </c>
      <c r="N80" s="12"/>
      <c r="O80" s="12"/>
      <c r="P80" s="12"/>
    </row>
    <row r="81" spans="1:16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1" t="str">
        <f t="shared" ca="1" si="2"/>
        <v/>
      </c>
      <c r="N81" s="12"/>
      <c r="O81" s="12"/>
      <c r="P81" s="12"/>
    </row>
    <row r="82" spans="1:16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1" t="str">
        <f t="shared" ca="1" si="2"/>
        <v/>
      </c>
      <c r="N82" s="12"/>
      <c r="O82" s="12"/>
      <c r="P82" s="12"/>
    </row>
    <row r="83" spans="1:16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1" t="str">
        <f t="shared" ca="1" si="2"/>
        <v/>
      </c>
      <c r="N83" s="12"/>
      <c r="O83" s="12"/>
      <c r="P83" s="12"/>
    </row>
    <row r="84" spans="1:16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1" t="str">
        <f t="shared" ca="1" si="2"/>
        <v/>
      </c>
      <c r="N84" s="12"/>
      <c r="O84" s="12"/>
      <c r="P84" s="12"/>
    </row>
    <row r="85" spans="1:16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1" t="str">
        <f t="shared" ca="1" si="2"/>
        <v/>
      </c>
      <c r="N85" s="12"/>
      <c r="O85" s="12"/>
      <c r="P85" s="12"/>
    </row>
    <row r="86" spans="1:16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1" t="str">
        <f t="shared" ca="1" si="2"/>
        <v/>
      </c>
      <c r="N86" s="12"/>
      <c r="O86" s="12"/>
      <c r="P86" s="12"/>
    </row>
    <row r="87" spans="1:16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1" t="str">
        <f t="shared" ca="1" si="2"/>
        <v/>
      </c>
      <c r="N87" s="12"/>
      <c r="O87" s="12"/>
      <c r="P87" s="12"/>
    </row>
    <row r="88" spans="1:16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1" t="str">
        <f t="shared" ca="1" si="2"/>
        <v/>
      </c>
      <c r="N88" s="12"/>
      <c r="O88" s="12"/>
      <c r="P88" s="12"/>
    </row>
    <row r="89" spans="1:16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1" t="str">
        <f t="shared" ca="1" si="2"/>
        <v/>
      </c>
      <c r="N89" s="12"/>
      <c r="O89" s="12"/>
      <c r="P89" s="12"/>
    </row>
    <row r="90" spans="1:16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1" t="str">
        <f t="shared" ca="1" si="2"/>
        <v/>
      </c>
      <c r="N90" s="12"/>
      <c r="O90" s="12"/>
      <c r="P90" s="12"/>
    </row>
    <row r="91" spans="1:16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1" t="str">
        <f t="shared" ca="1" si="2"/>
        <v/>
      </c>
      <c r="N91" s="12"/>
      <c r="O91" s="12"/>
      <c r="P91" s="12"/>
    </row>
    <row r="92" spans="1:16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1" t="str">
        <f t="shared" ca="1" si="2"/>
        <v/>
      </c>
      <c r="N92" s="12"/>
      <c r="O92" s="12"/>
      <c r="P92" s="12"/>
    </row>
    <row r="93" spans="1:16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1" t="str">
        <f t="shared" ca="1" si="2"/>
        <v/>
      </c>
      <c r="N93" s="12"/>
      <c r="O93" s="12"/>
      <c r="P93" s="12"/>
    </row>
    <row r="94" spans="1:16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1" t="str">
        <f t="shared" ca="1" si="2"/>
        <v/>
      </c>
      <c r="N94" s="12"/>
      <c r="O94" s="12"/>
      <c r="P94" s="12"/>
    </row>
    <row r="95" spans="1:16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1" t="str">
        <f t="shared" ca="1" si="2"/>
        <v/>
      </c>
      <c r="N95" s="12"/>
      <c r="O95" s="12"/>
      <c r="P95" s="12"/>
    </row>
    <row r="96" spans="1:16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1" t="str">
        <f t="shared" ca="1" si="2"/>
        <v/>
      </c>
      <c r="N96" s="12"/>
      <c r="O96" s="12"/>
      <c r="P96" s="12"/>
    </row>
    <row r="97" spans="1:16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1" t="str">
        <f t="shared" ca="1" si="2"/>
        <v/>
      </c>
      <c r="N97" s="12"/>
      <c r="O97" s="12"/>
      <c r="P97" s="12"/>
    </row>
    <row r="98" spans="1:16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1" t="str">
        <f t="shared" ca="1" si="2"/>
        <v/>
      </c>
      <c r="N98" s="12"/>
      <c r="O98" s="12"/>
      <c r="P98" s="12"/>
    </row>
    <row r="99" spans="1:16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1" t="str">
        <f t="shared" ref="M99:M130" ca="1" si="3">IFERROR(IF(A99="","",IF(OR(N99="Закрыта",N99="Решена",N99="Отклонена"),"—",IF(N(L99)=0,"",IF(TODAY()&gt;L99,"Просрочена","В срок")))),"")</f>
        <v/>
      </c>
      <c r="N99" s="12"/>
      <c r="O99" s="12"/>
      <c r="P99" s="12"/>
    </row>
    <row r="100" spans="1:16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1" t="str">
        <f t="shared" ca="1" si="3"/>
        <v/>
      </c>
      <c r="N100" s="12"/>
      <c r="O100" s="12"/>
      <c r="P100" s="12"/>
    </row>
    <row r="101" spans="1:16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1" t="str">
        <f t="shared" ca="1" si="3"/>
        <v/>
      </c>
      <c r="N101" s="12"/>
      <c r="O101" s="12"/>
      <c r="P101" s="12"/>
    </row>
    <row r="102" spans="1:16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1" t="str">
        <f t="shared" ca="1" si="3"/>
        <v/>
      </c>
      <c r="N102" s="12"/>
      <c r="O102" s="12"/>
      <c r="P102" s="12"/>
    </row>
    <row r="103" spans="1:16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1" t="str">
        <f t="shared" ca="1" si="3"/>
        <v/>
      </c>
      <c r="N103" s="12"/>
      <c r="O103" s="12"/>
      <c r="P103" s="12"/>
    </row>
    <row r="104" spans="1:16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1" t="str">
        <f t="shared" ca="1" si="3"/>
        <v/>
      </c>
      <c r="N104" s="12"/>
      <c r="O104" s="12"/>
      <c r="P104" s="12"/>
    </row>
    <row r="105" spans="1:16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1" t="str">
        <f t="shared" ca="1" si="3"/>
        <v/>
      </c>
      <c r="N105" s="12"/>
      <c r="O105" s="12"/>
      <c r="P105" s="12"/>
    </row>
    <row r="106" spans="1:16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1" t="str">
        <f t="shared" ca="1" si="3"/>
        <v/>
      </c>
      <c r="N106" s="12"/>
      <c r="O106" s="12"/>
      <c r="P106" s="12"/>
    </row>
    <row r="107" spans="1:16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1" t="str">
        <f t="shared" ca="1" si="3"/>
        <v/>
      </c>
      <c r="N107" s="12"/>
      <c r="O107" s="12"/>
      <c r="P107" s="12"/>
    </row>
    <row r="108" spans="1:16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1" t="str">
        <f t="shared" ca="1" si="3"/>
        <v/>
      </c>
      <c r="N108" s="12"/>
      <c r="O108" s="12"/>
      <c r="P108" s="12"/>
    </row>
    <row r="109" spans="1:16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1" t="str">
        <f t="shared" ca="1" si="3"/>
        <v/>
      </c>
      <c r="N109" s="12"/>
      <c r="O109" s="12"/>
      <c r="P109" s="12"/>
    </row>
    <row r="110" spans="1:16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1" t="str">
        <f t="shared" ca="1" si="3"/>
        <v/>
      </c>
      <c r="N110" s="12"/>
      <c r="O110" s="12"/>
      <c r="P110" s="12"/>
    </row>
    <row r="111" spans="1:16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1" t="str">
        <f t="shared" ca="1" si="3"/>
        <v/>
      </c>
      <c r="N111" s="12"/>
      <c r="O111" s="12"/>
      <c r="P111" s="12"/>
    </row>
    <row r="112" spans="1:16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1" t="str">
        <f t="shared" ca="1" si="3"/>
        <v/>
      </c>
      <c r="N112" s="12"/>
      <c r="O112" s="12"/>
      <c r="P112" s="12"/>
    </row>
    <row r="113" spans="1:16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1" t="str">
        <f t="shared" ca="1" si="3"/>
        <v/>
      </c>
      <c r="N113" s="12"/>
      <c r="O113" s="12"/>
      <c r="P113" s="12"/>
    </row>
    <row r="114" spans="1:16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1" t="str">
        <f t="shared" ca="1" si="3"/>
        <v/>
      </c>
      <c r="N114" s="12"/>
      <c r="O114" s="12"/>
      <c r="P114" s="12"/>
    </row>
    <row r="115" spans="1:16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1" t="str">
        <f t="shared" ca="1" si="3"/>
        <v/>
      </c>
      <c r="N115" s="12"/>
      <c r="O115" s="12"/>
      <c r="P115" s="12"/>
    </row>
    <row r="116" spans="1:16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1" t="str">
        <f t="shared" ca="1" si="3"/>
        <v/>
      </c>
      <c r="N116" s="12"/>
      <c r="O116" s="12"/>
      <c r="P116" s="12"/>
    </row>
    <row r="117" spans="1:16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1" t="str">
        <f t="shared" ca="1" si="3"/>
        <v/>
      </c>
      <c r="N117" s="12"/>
      <c r="O117" s="12"/>
      <c r="P117" s="12"/>
    </row>
    <row r="118" spans="1:16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1" t="str">
        <f t="shared" ca="1" si="3"/>
        <v/>
      </c>
      <c r="N118" s="12"/>
      <c r="O118" s="12"/>
      <c r="P118" s="12"/>
    </row>
    <row r="119" spans="1:16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1" t="str">
        <f t="shared" ca="1" si="3"/>
        <v/>
      </c>
      <c r="N119" s="12"/>
      <c r="O119" s="12"/>
      <c r="P119" s="12"/>
    </row>
    <row r="120" spans="1:16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1" t="str">
        <f t="shared" ca="1" si="3"/>
        <v/>
      </c>
      <c r="N120" s="12"/>
      <c r="O120" s="12"/>
      <c r="P120" s="12"/>
    </row>
    <row r="121" spans="1:16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1" t="str">
        <f t="shared" ca="1" si="3"/>
        <v/>
      </c>
      <c r="N121" s="12"/>
      <c r="O121" s="12"/>
      <c r="P121" s="12"/>
    </row>
    <row r="122" spans="1:16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1" t="str">
        <f t="shared" ca="1" si="3"/>
        <v/>
      </c>
      <c r="N122" s="12"/>
      <c r="O122" s="12"/>
      <c r="P122" s="12"/>
    </row>
  </sheetData>
  <autoFilter ref="A2:P122" xr:uid="{00000000-0009-0000-0000-000001000000}"/>
  <conditionalFormatting sqref="M3:M122">
    <cfRule type="cellIs" dxfId="5" priority="2" operator="equal">
      <formula>"Просрочена"</formula>
    </cfRule>
  </conditionalFormatting>
  <conditionalFormatting sqref="G3:G122">
    <cfRule type="cellIs" dxfId="4" priority="3" operator="equal">
      <formula>"Критический"</formula>
    </cfRule>
    <cfRule type="cellIs" dxfId="3" priority="4" operator="equal">
      <formula>"Высокий"</formula>
    </cfRule>
    <cfRule type="cellIs" dxfId="2" priority="5" operator="equal">
      <formula>"Средний"</formula>
    </cfRule>
    <cfRule type="cellIs" dxfId="1" priority="6" operator="equal">
      <formula>"Низкий"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="Выберите из списка" xr:uid="{00000000-0002-0000-0100-000000000000}">
          <x14:formula1>
            <xm:f>Справочники!$A$2:$A$11</xm:f>
          </x14:formula1>
          <x14:formula2>
            <xm:f>0</xm:f>
          </x14:formula2>
          <xm:sqref>E3:E122</xm:sqref>
        </x14:dataValidation>
        <x14:dataValidation type="list" allowBlank="1" error="Выберите из списка" xr:uid="{00000000-0002-0000-0100-000001000000}">
          <x14:formula1>
            <xm:f>Справочники!$B$2:$B$5</xm:f>
          </x14:formula1>
          <x14:formula2>
            <xm:f>0</xm:f>
          </x14:formula2>
          <xm:sqref>G3:G122</xm:sqref>
        </x14:dataValidation>
        <x14:dataValidation type="list" allowBlank="1" error="Выберите из списка" xr:uid="{00000000-0002-0000-0100-000002000000}">
          <x14:formula1>
            <xm:f>Справочники!$C$2:$C$8</xm:f>
          </x14:formula1>
          <x14:formula2>
            <xm:f>0</xm:f>
          </x14:formula2>
          <xm:sqref>N3:N122</xm:sqref>
        </x14:dataValidation>
        <x14:dataValidation type="list" allowBlank="1" error="Выберите из списка" xr:uid="{00000000-0002-0000-0100-000003000000}">
          <x14:formula1>
            <xm:f>Справочники!$D$2:$D$6</xm:f>
          </x14:formula1>
          <x14:formula2>
            <xm:f>0</xm:f>
          </x14:formula2>
          <xm:sqref>J3:J122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4" customWidth="1"/>
    <col min="3" max="3" width="14" customWidth="1"/>
    <col min="4" max="4" width="3" customWidth="1"/>
    <col min="5" max="5" width="22" customWidth="1"/>
    <col min="6" max="6" width="12" customWidth="1"/>
  </cols>
  <sheetData>
    <row r="2" spans="2:6" ht="18" x14ac:dyDescent="0.25">
      <c r="B2" s="8" t="s">
        <v>92</v>
      </c>
    </row>
    <row r="3" spans="2:6" x14ac:dyDescent="0.25">
      <c r="B3" s="2" t="s">
        <v>93</v>
      </c>
    </row>
    <row r="5" spans="2:6" ht="15.75" x14ac:dyDescent="0.25">
      <c r="B5" s="5" t="s">
        <v>94</v>
      </c>
      <c r="E5" s="5" t="s">
        <v>95</v>
      </c>
    </row>
    <row r="6" spans="2:6" x14ac:dyDescent="0.25">
      <c r="B6" s="9" t="s">
        <v>47</v>
      </c>
      <c r="C6" s="9" t="s">
        <v>96</v>
      </c>
      <c r="E6" s="9" t="s">
        <v>40</v>
      </c>
      <c r="F6" s="9" t="s">
        <v>96</v>
      </c>
    </row>
    <row r="7" spans="2:6" x14ac:dyDescent="0.25">
      <c r="B7" s="13" t="s">
        <v>97</v>
      </c>
      <c r="C7" s="14">
        <f>COUNTIF('Реестр проблем'!$N$3:$N$122,"Открыта")</f>
        <v>0</v>
      </c>
      <c r="E7" s="13" t="s">
        <v>76</v>
      </c>
      <c r="F7" s="14">
        <f>COUNTIF('Реестр проблем'!$G$3:$G$122,"Критический")</f>
        <v>1</v>
      </c>
    </row>
    <row r="8" spans="2:6" x14ac:dyDescent="0.25">
      <c r="B8" s="13" t="s">
        <v>70</v>
      </c>
      <c r="C8" s="14">
        <f>COUNTIF('Реестр проблем'!$N$3:$N$122,"В работе")</f>
        <v>1</v>
      </c>
      <c r="E8" s="13" t="s">
        <v>55</v>
      </c>
      <c r="F8" s="14">
        <f>COUNTIF('Реестр проблем'!$G$3:$G$122,"Высокий")</f>
        <v>2</v>
      </c>
    </row>
    <row r="9" spans="2:6" x14ac:dyDescent="0.25">
      <c r="B9" s="13" t="s">
        <v>60</v>
      </c>
      <c r="C9" s="14">
        <f>COUNTIF('Реестр проблем'!$N$3:$N$122,"Эскалирована")</f>
        <v>1</v>
      </c>
      <c r="E9" s="13" t="s">
        <v>87</v>
      </c>
      <c r="F9" s="14">
        <f>COUNTIF('Реестр проблем'!$G$3:$G$122,"Средний")</f>
        <v>1</v>
      </c>
    </row>
    <row r="10" spans="2:6" x14ac:dyDescent="0.25">
      <c r="B10" s="13" t="s">
        <v>81</v>
      </c>
      <c r="C10" s="14">
        <f>COUNTIF('Реестр проблем'!$N$3:$N$122,"Ожидает (внешнее)")</f>
        <v>1</v>
      </c>
      <c r="E10" s="13" t="s">
        <v>98</v>
      </c>
      <c r="F10" s="14">
        <f>COUNTIF('Реестр проблем'!$G$3:$G$122,"Низкий")</f>
        <v>0</v>
      </c>
    </row>
    <row r="11" spans="2:6" x14ac:dyDescent="0.25">
      <c r="B11" s="13" t="s">
        <v>90</v>
      </c>
      <c r="C11" s="14">
        <f>COUNTIF('Реестр проблем'!$N$3:$N$122,"Решена")</f>
        <v>1</v>
      </c>
    </row>
    <row r="12" spans="2:6" x14ac:dyDescent="0.25">
      <c r="B12" s="13" t="s">
        <v>99</v>
      </c>
      <c r="C12" s="14">
        <f>COUNTIF('Реестр проблем'!$N$3:$N$122,"Закрыта")</f>
        <v>0</v>
      </c>
    </row>
    <row r="13" spans="2:6" ht="15.75" x14ac:dyDescent="0.25">
      <c r="B13" s="13" t="s">
        <v>100</v>
      </c>
      <c r="C13" s="14">
        <f>COUNTIF('Реестр проблем'!$N$3:$N$122,"Отклонена")</f>
        <v>0</v>
      </c>
      <c r="E13" s="5" t="s">
        <v>101</v>
      </c>
    </row>
    <row r="14" spans="2:6" x14ac:dyDescent="0.25">
      <c r="B14" s="15" t="s">
        <v>102</v>
      </c>
      <c r="C14" s="16">
        <f>COUNTA('Реестр проблем'!$A$3:$A$122)</f>
        <v>4</v>
      </c>
      <c r="E14" s="9" t="s">
        <v>38</v>
      </c>
      <c r="F14" s="9" t="s">
        <v>96</v>
      </c>
    </row>
    <row r="15" spans="2:6" x14ac:dyDescent="0.25">
      <c r="B15" s="15" t="s">
        <v>103</v>
      </c>
      <c r="C15" s="17">
        <f ca="1">COUNTIF('Реестр проблем'!$M$3:$M$122,"Просрочена")</f>
        <v>0</v>
      </c>
      <c r="E15" s="13" t="s">
        <v>104</v>
      </c>
      <c r="F15" s="14">
        <f>COUNTIF('Реестр проблем'!$E$3:$E$122,"Организационная")</f>
        <v>0</v>
      </c>
    </row>
    <row r="16" spans="2:6" x14ac:dyDescent="0.25">
      <c r="E16" s="13" t="s">
        <v>105</v>
      </c>
      <c r="F16" s="14">
        <f>COUNTIF('Реестр проблем'!$E$3:$E$122,"Техническая")</f>
        <v>0</v>
      </c>
    </row>
    <row r="17" spans="5:6" x14ac:dyDescent="0.25">
      <c r="E17" s="13" t="s">
        <v>53</v>
      </c>
      <c r="F17" s="14">
        <f>COUNTIF('Реестр проблем'!$E$3:$E$122,"Ресурсная")</f>
        <v>1</v>
      </c>
    </row>
    <row r="18" spans="5:6" x14ac:dyDescent="0.25">
      <c r="E18" s="13" t="s">
        <v>64</v>
      </c>
      <c r="F18" s="14">
        <f>COUNTIF('Реестр проблем'!$E$3:$E$122,"Данные/качество")</f>
        <v>1</v>
      </c>
    </row>
    <row r="19" spans="5:6" x14ac:dyDescent="0.25">
      <c r="E19" s="13" t="s">
        <v>74</v>
      </c>
      <c r="F19" s="14">
        <f>COUNTIF('Реестр проблем'!$E$3:$E$122,"Интеграции")</f>
        <v>1</v>
      </c>
    </row>
    <row r="20" spans="5:6" x14ac:dyDescent="0.25">
      <c r="E20" s="13" t="s">
        <v>106</v>
      </c>
      <c r="F20" s="14">
        <f>COUNTIF('Реестр проблем'!$E$3:$E$122,"НСИ")</f>
        <v>0</v>
      </c>
    </row>
    <row r="21" spans="5:6" x14ac:dyDescent="0.25">
      <c r="E21" s="13" t="s">
        <v>107</v>
      </c>
      <c r="F21" s="14">
        <f>COUNTIF('Реестр проблем'!$E$3:$E$122,"Миграция")</f>
        <v>0</v>
      </c>
    </row>
    <row r="22" spans="5:6" x14ac:dyDescent="0.25">
      <c r="E22" s="13" t="s">
        <v>108</v>
      </c>
      <c r="F22" s="14">
        <f>COUNTIF('Реестр проблем'!$E$3:$E$122,"Внешняя/поставщик")</f>
        <v>0</v>
      </c>
    </row>
    <row r="23" spans="5:6" x14ac:dyDescent="0.25">
      <c r="E23" s="13" t="s">
        <v>109</v>
      </c>
      <c r="F23" s="14">
        <f>COUNTIF('Реестр проблем'!$E$3:$E$122,"Бюджет/сроки")</f>
        <v>0</v>
      </c>
    </row>
    <row r="24" spans="5:6" x14ac:dyDescent="0.25">
      <c r="E24" s="13" t="s">
        <v>85</v>
      </c>
      <c r="F24" s="14">
        <f>COUNTIF('Реестр проблем'!$E$3:$E$122,"Требования")</f>
        <v>1</v>
      </c>
    </row>
  </sheetData>
  <conditionalFormatting sqref="C15">
    <cfRule type="cellIs" dxfId="0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zoomScaleNormal="100" workbookViewId="0"/>
  </sheetViews>
  <sheetFormatPr defaultColWidth="8.7109375" defaultRowHeight="15" x14ac:dyDescent="0.25"/>
  <cols>
    <col min="1" max="3" width="24" customWidth="1"/>
    <col min="4" max="4" width="22" customWidth="1"/>
  </cols>
  <sheetData>
    <row r="1" spans="1:4" x14ac:dyDescent="0.25">
      <c r="A1" s="9" t="s">
        <v>110</v>
      </c>
      <c r="B1" s="9" t="s">
        <v>40</v>
      </c>
      <c r="C1" s="9" t="s">
        <v>47</v>
      </c>
      <c r="D1" s="9" t="s">
        <v>43</v>
      </c>
    </row>
    <row r="2" spans="1:4" x14ac:dyDescent="0.25">
      <c r="A2" s="13" t="s">
        <v>104</v>
      </c>
      <c r="B2" s="13" t="s">
        <v>76</v>
      </c>
      <c r="C2" s="13" t="s">
        <v>97</v>
      </c>
      <c r="D2" s="13" t="s">
        <v>111</v>
      </c>
    </row>
    <row r="3" spans="1:4" x14ac:dyDescent="0.25">
      <c r="A3" s="13" t="s">
        <v>105</v>
      </c>
      <c r="B3" s="13" t="s">
        <v>55</v>
      </c>
      <c r="C3" s="13" t="s">
        <v>70</v>
      </c>
      <c r="D3" s="13" t="s">
        <v>68</v>
      </c>
    </row>
    <row r="4" spans="1:4" x14ac:dyDescent="0.25">
      <c r="A4" s="13" t="s">
        <v>53</v>
      </c>
      <c r="B4" s="13" t="s">
        <v>87</v>
      </c>
      <c r="C4" s="13" t="s">
        <v>60</v>
      </c>
      <c r="D4" s="13" t="s">
        <v>58</v>
      </c>
    </row>
    <row r="5" spans="1:4" x14ac:dyDescent="0.25">
      <c r="A5" s="13" t="s">
        <v>64</v>
      </c>
      <c r="B5" s="13" t="s">
        <v>98</v>
      </c>
      <c r="C5" s="13" t="s">
        <v>81</v>
      </c>
      <c r="D5" s="13" t="s">
        <v>112</v>
      </c>
    </row>
    <row r="6" spans="1:4" x14ac:dyDescent="0.25">
      <c r="A6" s="13" t="s">
        <v>74</v>
      </c>
      <c r="C6" s="13" t="s">
        <v>90</v>
      </c>
      <c r="D6" s="13" t="s">
        <v>79</v>
      </c>
    </row>
    <row r="7" spans="1:4" x14ac:dyDescent="0.25">
      <c r="A7" s="13" t="s">
        <v>106</v>
      </c>
      <c r="C7" s="13" t="s">
        <v>99</v>
      </c>
    </row>
    <row r="8" spans="1:4" x14ac:dyDescent="0.25">
      <c r="A8" s="13" t="s">
        <v>107</v>
      </c>
      <c r="C8" s="13" t="s">
        <v>100</v>
      </c>
    </row>
    <row r="9" spans="1:4" x14ac:dyDescent="0.25">
      <c r="A9" s="13" t="s">
        <v>108</v>
      </c>
    </row>
    <row r="10" spans="1:4" x14ac:dyDescent="0.25">
      <c r="A10" s="13" t="s">
        <v>109</v>
      </c>
    </row>
    <row r="11" spans="1:4" x14ac:dyDescent="0.25">
      <c r="A11" s="13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18" t="s">
        <v>113</v>
      </c>
    </row>
    <row r="2" spans="1:4" x14ac:dyDescent="0.25">
      <c r="A2" s="9" t="s">
        <v>114</v>
      </c>
      <c r="B2" s="9" t="s">
        <v>115</v>
      </c>
      <c r="C2" s="9" t="s">
        <v>116</v>
      </c>
      <c r="D2" s="9" t="s">
        <v>117</v>
      </c>
    </row>
    <row r="3" spans="1:4" x14ac:dyDescent="0.25">
      <c r="A3" s="19" t="s">
        <v>118</v>
      </c>
      <c r="B3" s="19" t="s">
        <v>119</v>
      </c>
      <c r="C3" s="19" t="s">
        <v>120</v>
      </c>
      <c r="D3" s="19" t="s">
        <v>121</v>
      </c>
    </row>
    <row r="4" spans="1:4" x14ac:dyDescent="0.25">
      <c r="A4" s="20"/>
      <c r="B4" s="20"/>
      <c r="C4" s="20"/>
      <c r="D4" s="20"/>
    </row>
    <row r="5" spans="1:4" x14ac:dyDescent="0.25">
      <c r="A5" s="20"/>
      <c r="B5" s="20"/>
      <c r="C5" s="20"/>
      <c r="D5" s="20"/>
    </row>
    <row r="6" spans="1:4" x14ac:dyDescent="0.25">
      <c r="A6" s="20"/>
      <c r="B6" s="20"/>
      <c r="C6" s="20"/>
      <c r="D6" s="20"/>
    </row>
    <row r="7" spans="1:4" x14ac:dyDescent="0.25">
      <c r="A7" s="20"/>
      <c r="B7" s="20"/>
      <c r="C7" s="20"/>
      <c r="D7" s="2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Реестр проблем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2026-06-19T08:20:34Z</dcterms:created>
  <dcterms:modified xsi:type="dcterms:W3CDTF">2026-06-19T08:34:17Z</dcterms:modified>
  <dc:language>en-US</dc:language>
</cp:coreProperties>
</file>