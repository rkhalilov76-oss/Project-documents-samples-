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"/>
    </mc:Choice>
  </mc:AlternateContent>
  <xr:revisionPtr revIDLastSave="0" documentId="13_ncr:1_{A87EA3CA-BCCB-46B0-8545-DB6A2775B3D6}" xr6:coauthVersionLast="47" xr6:coauthVersionMax="47" xr10:uidLastSave="{00000000-0000-0000-0000-000000000000}"/>
  <bookViews>
    <workbookView xWindow="3630" yWindow="4350" windowWidth="25860" windowHeight="16530" tabRatio="500" activeTab="1" xr2:uid="{00000000-000D-0000-FFFF-FFFF00000000}"/>
  </bookViews>
  <sheets>
    <sheet name="Инструкция" sheetId="1" r:id="rId1"/>
    <sheet name="Реестр документов" sheetId="2" r:id="rId2"/>
    <sheet name="Сводка" sheetId="3" r:id="rId3"/>
    <sheet name="Справочники" sheetId="4" r:id="rId4"/>
    <sheet name="Журнал изменений" sheetId="5" r:id="rId5"/>
  </sheets>
  <definedNames>
    <definedName name="_xlnm._FilterDatabase" localSheetId="1" hidden="1">'Реестр документов'!$A$2:$H$65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3" l="1"/>
  <c r="C11" i="3"/>
  <c r="C10" i="3"/>
  <c r="C9" i="3"/>
  <c r="C8" i="3"/>
  <c r="C7" i="3"/>
</calcChain>
</file>

<file path=xl/sharedStrings.xml><?xml version="1.0" encoding="utf-8"?>
<sst xmlns="http://schemas.openxmlformats.org/spreadsheetml/2006/main" count="456" uniqueCount="234">
  <si>
    <t>РЕЕСТР ПРОЕКТНЫХ ДОКУМЕНТОВ</t>
  </si>
  <si>
    <t>Document Register — единый перечень документов проекта (источник истины)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</si>
  <si>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</si>
  <si>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</si>
  <si>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</si>
  <si>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</si>
  <si>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</si>
  <si>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[1.0]</t>
  </si>
  <si>
    <t>Дата:</t>
  </si>
  <si>
    <t>[ДД.ММ.ГГГГ]</t>
  </si>
  <si>
    <t>Владелец документа:</t>
  </si>
  <si>
    <t>[Руководитель проекта]</t>
  </si>
  <si>
    <t>Назначение</t>
  </si>
  <si>
    <t>Единый перечень всех проектных документов — источник истины для состава документации. С ним сверяются прочие документы (матрица RACI, план управления) для консистентности названий, состава и статусов. Отражает: фазу, тип артефакта, формат, статус готовности шаблона, ответственного и связи. Канонические наименования из этого реестра обязательны к использованию во всех документах.</t>
  </si>
  <si>
    <t>Как пользоваться</t>
  </si>
  <si>
    <t>•  Колонка «Статус шаблона»: Готов — шаблон создан; Не создан — в планах; Не требуется — исключён из объёма.</t>
  </si>
  <si>
    <t>•  Колонка «Каноническое наименование» — единственно верное название; используйте именно его везде.</t>
  </si>
  <si>
    <t>•  Колонка «Файл шаблона» — имя файла готового шаблона (если есть).</t>
  </si>
  <si>
    <t>•  При создании нового документа добавляйте строку сюда ПЕРВЫМ делом, затем заводите файл.</t>
  </si>
  <si>
    <t>•  Сводка показывает прогресс по фазам: сколько готово / в планах.</t>
  </si>
  <si>
    <t>Реестр проектных документов</t>
  </si>
  <si>
    <t>№</t>
  </si>
  <si>
    <t>Каноническое наименование</t>
  </si>
  <si>
    <t>Тип артефакта</t>
  </si>
  <si>
    <t>Формат</t>
  </si>
  <si>
    <t>Статус шаблона</t>
  </si>
  <si>
    <t>Файл шаблона</t>
  </si>
  <si>
    <t>Ответственный (роль)</t>
  </si>
  <si>
    <t>Связанные документы / примечание</t>
  </si>
  <si>
    <t>1. Инициация и управление</t>
  </si>
  <si>
    <t>Системный промт проекта</t>
  </si>
  <si>
    <t>Промт/методология</t>
  </si>
  <si>
    <t>.md</t>
  </si>
  <si>
    <t>Готов</t>
  </si>
  <si>
    <t>sistemnyy_promt_proekta.md</t>
  </si>
  <si>
    <t>РП/Методолог</t>
  </si>
  <si>
    <t>Методологическая основа всех документов</t>
  </si>
  <si>
    <t>Устав проекта</t>
  </si>
  <si>
    <t>Документ (шаблон)</t>
  </si>
  <si>
    <t>.docx</t>
  </si>
  <si>
    <t>Ustav_proekta_shablon.docx</t>
  </si>
  <si>
    <t>РП</t>
  </si>
  <si>
    <t>Основной документ инициации</t>
  </si>
  <si>
    <t>Паспорт проекта</t>
  </si>
  <si>
    <t>Pasport_proekta_shablon.docx</t>
  </si>
  <si>
    <t>Сводная карточка; ссылается на Устав</t>
  </si>
  <si>
    <t>План управления проектом</t>
  </si>
  <si>
    <t>Plan_upravleniya_proektom_shablon.docx</t>
  </si>
  <si>
    <t>Зонтичный, 10 областей знаний</t>
  </si>
  <si>
    <t>Реестр стейкхолдеров и матрица влияния/интересов</t>
  </si>
  <si>
    <t>Реестр/журнал</t>
  </si>
  <si>
    <t>.xlsx</t>
  </si>
  <si>
    <t>Reestr_steykholderov_shablon.xlsx</t>
  </si>
  <si>
    <t>Матрица Менделоу внутри</t>
  </si>
  <si>
    <t>Организационная структура проекта</t>
  </si>
  <si>
    <t>Organizacionnaya_struktura_proekta_shablon.docx</t>
  </si>
  <si>
    <t>Оргструктура и роли (в Уставе р.10 — кратко)</t>
  </si>
  <si>
    <t>Матрица ответственности RACI</t>
  </si>
  <si>
    <t>Матрица</t>
  </si>
  <si>
    <t>Matrica_RACI_artefakty.xlsx</t>
  </si>
  <si>
    <t>Артефакты × роли; сверяется с этим реестром</t>
  </si>
  <si>
    <t>Реестр рисков</t>
  </si>
  <si>
    <t>Reestr_riskov_shablon.xlsx</t>
  </si>
  <si>
    <t>Связан с Issue Log по R-ID</t>
  </si>
  <si>
    <t>Реестр проблем (Issue Log)</t>
  </si>
  <si>
    <t>Reestr_problem_Issue_Log.xlsx</t>
  </si>
  <si>
    <t>Связь с рисками по R-ID</t>
  </si>
  <si>
    <t>Матрица коммуникаций</t>
  </si>
  <si>
    <t>Matrica_kommunikaciy.xlsx</t>
  </si>
  <si>
    <t>Раскрывает раздел 9 Плана управления</t>
  </si>
  <si>
    <t>План управления изменениями</t>
  </si>
  <si>
    <t>Plan_upravleniya_izmeneniyami_shablon.docx</t>
  </si>
  <si>
    <t>CR/scope; детализ. р.14 PMP</t>
  </si>
  <si>
    <t>Реестр запросов на изменение</t>
  </si>
  <si>
    <t>Reestr_zaprosov_na_izmenenie.xlsx</t>
  </si>
  <si>
    <t>Операционный журнал к Плану упр. изм.</t>
  </si>
  <si>
    <t>Календарный план</t>
  </si>
  <si>
    <t>План-график</t>
  </si>
  <si>
    <t>.xml (MS Project)</t>
  </si>
  <si>
    <t>Kalendarnyy_plan_1C_MSProject.xml</t>
  </si>
  <si>
    <t>48 задач, 17 ролей, 82 назначения</t>
  </si>
  <si>
    <t>План управления качеством</t>
  </si>
  <si>
    <t>Plan_upravleniya_kachestvom_shablon.docx</t>
  </si>
  <si>
    <t>Метрики качества (в PMP р.7 — кратко)</t>
  </si>
  <si>
    <t>2. Обследование и анализ</t>
  </si>
  <si>
    <t>Отчёт о предпроектном обследовании</t>
  </si>
  <si>
    <t>Не создан</t>
  </si>
  <si>
    <t>Аналитик</t>
  </si>
  <si>
    <t>Итог фазы обследования</t>
  </si>
  <si>
    <t>Описание бизнес-процессов As-Is</t>
  </si>
  <si>
    <t>Модель текущих процессов</t>
  </si>
  <si>
    <t>Описание бизнес-процессов To-Be</t>
  </si>
  <si>
    <t>Модель целевых процессов</t>
  </si>
  <si>
    <t>Каталог бизнес-требований (BRD)</t>
  </si>
  <si>
    <t>Верхнеуровневые бизнес-требования</t>
  </si>
  <si>
    <t>Реестр требований</t>
  </si>
  <si>
    <t>Детальные требования; источник для RTM</t>
  </si>
  <si>
    <t>Матрица трассировки требований (RTM)</t>
  </si>
  <si>
    <t>RTM_matrica_trassirovki_shablon.xlsx</t>
  </si>
  <si>
    <t>Сквозная трассировка цель→тест</t>
  </si>
  <si>
    <t>Реестр разрывов (Gap-анализ)</t>
  </si>
  <si>
    <t>Архитектор</t>
  </si>
  <si>
    <t>Gap относительно типового 1С</t>
  </si>
  <si>
    <t>3. Проектирование</t>
  </si>
  <si>
    <t>Техническое задание (головное)</t>
  </si>
  <si>
    <t>ТЗ/ЧТЗ</t>
  </si>
  <si>
    <t>TZ_golovnoe_shablon.docx</t>
  </si>
  <si>
    <t>ГОСТ 34.602 + блоки 1С</t>
  </si>
  <si>
    <t>ЧТЗ на интеграцию</t>
  </si>
  <si>
    <t>CHTZ_integraciya_shablon.docx</t>
  </si>
  <si>
    <t>Шаблон для каждой интеграции</t>
  </si>
  <si>
    <t>ЧТЗ на доработку</t>
  </si>
  <si>
    <t>CHTZ_dorabotka_shablon.docx</t>
  </si>
  <si>
    <t>Шаблон для каждой доработки</t>
  </si>
  <si>
    <t>Функциональные спецификации (FRD)</t>
  </si>
  <si>
    <t>Детализация функц. требований</t>
  </si>
  <si>
    <t>Концепция архитектуры решения</t>
  </si>
  <si>
    <t>Концепция</t>
  </si>
  <si>
    <t>Системная архитектура (отд. от концепций ниже)</t>
  </si>
  <si>
    <t>Концепция НСИ</t>
  </si>
  <si>
    <t>Koncepciya_NSI_shablon.docx</t>
  </si>
  <si>
    <t>Архитектор данных</t>
  </si>
  <si>
    <t>Мастер-данные холдинга</t>
  </si>
  <si>
    <t>Концепция миграции данных</t>
  </si>
  <si>
    <t>Koncepciya_migracii_shablon.docx</t>
  </si>
  <si>
    <t>Спец. по миграции</t>
  </si>
  <si>
    <t>Связь с НСИ</t>
  </si>
  <si>
    <t>Концепция интеграции</t>
  </si>
  <si>
    <t>Koncepciya_integracii_shablon.docx</t>
  </si>
  <si>
    <t>Ландшафт; общие требования к ЧТЗ</t>
  </si>
  <si>
    <t>Модель данных / описание НСИ</t>
  </si>
  <si>
    <t>Дополняет Концепцию НСИ</t>
  </si>
  <si>
    <t>Ролевая модель и матрица прав доступа</t>
  </si>
  <si>
    <t>Разграничение по юрлицам/ролям</t>
  </si>
  <si>
    <t>Дизайн UI / печатных форм / отчётов</t>
  </si>
  <si>
    <t>Макеты форм</t>
  </si>
  <si>
    <t>4. Разработка и настройка</t>
  </si>
  <si>
    <t>Реестр доработок (Backlog)</t>
  </si>
  <si>
    <t>Reestr_dorabotok.xlsx</t>
  </si>
  <si>
    <t>Архитектор/РП</t>
  </si>
  <si>
    <t>gap→ЧТЗ→разработка→тест</t>
  </si>
  <si>
    <t>Журнал версий конфигурации</t>
  </si>
  <si>
    <t>Разработчик</t>
  </si>
  <si>
    <t>Версионирование конфигурации</t>
  </si>
  <si>
    <t>Стандарты разработки и code style</t>
  </si>
  <si>
    <t>Правила разработки 1С</t>
  </si>
  <si>
    <t>Протоколы код-ревью</t>
  </si>
  <si>
    <t>Контроль качества кода</t>
  </si>
  <si>
    <t>5. Тестирование</t>
  </si>
  <si>
    <t>План тестирования и ПМИ</t>
  </si>
  <si>
    <t>Plan_testirovaniya_PMI_shablon.docx</t>
  </si>
  <si>
    <t>QA</t>
  </si>
  <si>
    <t>Стратегия + методика испытаний</t>
  </si>
  <si>
    <t>Реестр тест-кейсов</t>
  </si>
  <si>
    <t>Reestr_test_keysov.xlsx</t>
  </si>
  <si>
    <t>Детальные шаги; трассировка в RTM</t>
  </si>
  <si>
    <t>Протоколы тестирования</t>
  </si>
  <si>
    <t>Результаты прогонов</t>
  </si>
  <si>
    <t>Журнал дефектов (Bug tracking)</t>
  </si>
  <si>
    <t>Учёт дефектов</t>
  </si>
  <si>
    <t>Протоколы приёмочных испытаний</t>
  </si>
  <si>
    <t>Приёмка по ПМИ</t>
  </si>
  <si>
    <t>6. Внедрение и ОПЭ</t>
  </si>
  <si>
    <t>План развёртывания / перехода (Cutover)</t>
  </si>
  <si>
    <t>РП/Архитектор</t>
  </si>
  <si>
    <t>Окно перехода, go/no-go, откат</t>
  </si>
  <si>
    <t>Детальный план миграции данных</t>
  </si>
  <si>
    <t>Регламент и контроль (из Концепции миграции)</t>
  </si>
  <si>
    <t>План обучения и учебные материалы</t>
  </si>
  <si>
    <t>Тренер</t>
  </si>
  <si>
    <t>Курсы, инструкции</t>
  </si>
  <si>
    <t>Регламент опытной эксплуатации (ОПЭ)</t>
  </si>
  <si>
    <t>Порядок ОПЭ</t>
  </si>
  <si>
    <t>Журнал замечаний периода ОПЭ</t>
  </si>
  <si>
    <t>Замечания в ОПЭ</t>
  </si>
  <si>
    <t>План поддержки (Hypercare)</t>
  </si>
  <si>
    <t>Стабилизация после ПЭ</t>
  </si>
  <si>
    <t>7. Эксплуатационная документация</t>
  </si>
  <si>
    <t>Руководство пользователя</t>
  </si>
  <si>
    <t>Техписатель</t>
  </si>
  <si>
    <t>По ролям/подсистемам</t>
  </si>
  <si>
    <t>Руководство администратора</t>
  </si>
  <si>
    <t>Администрирование</t>
  </si>
  <si>
    <t>Регламенты эксплуатации и сопровождения (SLA)</t>
  </si>
  <si>
    <t>Администратор</t>
  </si>
  <si>
    <t>SLA сопровождения</t>
  </si>
  <si>
    <t>Инструкции по типовым операциям</t>
  </si>
  <si>
    <t>Пошаговые инструкции</t>
  </si>
  <si>
    <t>8. Закрытие</t>
  </si>
  <si>
    <t>Акты сдачи-приёмки</t>
  </si>
  <si>
    <t>РП/Спонсор</t>
  </si>
  <si>
    <t>По этапам и итоговый</t>
  </si>
  <si>
    <t>Протокол завершения проекта</t>
  </si>
  <si>
    <t>Формальное закрытие</t>
  </si>
  <si>
    <t>Отчёт об извлечённых уроках</t>
  </si>
  <si>
    <t>Lessons Learned</t>
  </si>
  <si>
    <t>Реестр переданных активов</t>
  </si>
  <si>
    <t>Итоговый состав поставки</t>
  </si>
  <si>
    <t>Сводка по составу документации</t>
  </si>
  <si>
    <t>Считается автоматически по листу «Реестр документов».</t>
  </si>
  <si>
    <t>Готовность шаблонов</t>
  </si>
  <si>
    <t>Статус</t>
  </si>
  <si>
    <t>Кол-во</t>
  </si>
  <si>
    <t>В работе</t>
  </si>
  <si>
    <t>Не требуется</t>
  </si>
  <si>
    <t>Всего документов</t>
  </si>
  <si>
    <t>% готовности</t>
  </si>
  <si>
    <t>Примечание: 21 шаблон создан (включая системный промт). Остальные — типовой состав для фаз реализации/закрытия, заводятся по мере проекта.</t>
  </si>
  <si>
    <t>Фаза/Группа</t>
  </si>
  <si>
    <t>Несколько</t>
  </si>
  <si>
    <t>Журнал изменений документа</t>
  </si>
  <si>
    <t>Версия</t>
  </si>
  <si>
    <t>Дата</t>
  </si>
  <si>
    <t>Описание изменений</t>
  </si>
  <si>
    <t>Автор</t>
  </si>
  <si>
    <t>Создание реестра; сверка состава документации, унификация наименований</t>
  </si>
  <si>
    <t>Reestr_razryvov_Gap_analiz.xlsx</t>
  </si>
  <si>
    <t>Reestr_trebovaniy.xlsx</t>
  </si>
  <si>
    <t>Otchet_o_predproektnom_obsledovanii_shablon.docx</t>
  </si>
  <si>
    <t>Opisanie_processov_As-Is_shablon.docx</t>
  </si>
  <si>
    <t>Opisanie_processov_To-Be_shablon.docx</t>
  </si>
  <si>
    <t>Katalog_biznes-trebovaniy_BRD_shablon.docx</t>
  </si>
  <si>
    <t>FRD_funkcionalnye_trebovaniya_shablon.docx</t>
  </si>
  <si>
    <t>0.1</t>
  </si>
  <si>
    <t>0.2</t>
  </si>
  <si>
    <t>Доработка реестра по фазам 2 и 4</t>
  </si>
  <si>
    <t>Халилов Руслан</t>
  </si>
  <si>
    <t>Koncepciya_arhitektury_resheniya_shablon.docx</t>
  </si>
  <si>
    <t>Model_dannyh_opisanie_NSI_shablon.docx</t>
  </si>
  <si>
    <t>Rolevaya_model_matrica_prav_shablon.docx</t>
  </si>
  <si>
    <t>Dizayn_UI_pechatnyh_form_otchetov_shablon.docx</t>
  </si>
  <si>
    <t>Zhurnal_versiy_konfiguracii.xlsx</t>
  </si>
  <si>
    <t>Standarty_razrabotki_code_style_shablon.docx</t>
  </si>
  <si>
    <t>Protokol_kod-revyu_shablon.docx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</si>
</sst>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1"/>
      <color rgb="FF1F4E79"/>
      <name val="Arial"/>
      <charset val="1"/>
    </font>
    <font>
      <i/>
      <sz val="9"/>
      <color rgb="FF808080"/>
      <name val="Arial"/>
      <charset val="1"/>
    </font>
    <font>
      <b/>
      <sz val="13"/>
      <color rgb="FF1F4E79"/>
      <name val="Arial"/>
      <charset val="1"/>
    </font>
    <font>
      <i/>
      <sz val="10"/>
      <color rgb="FF2E75B6"/>
      <name val="Arial"/>
      <charset val="1"/>
    </font>
    <font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CC99"/>
      </patternFill>
    </fill>
    <fill>
      <patternFill patternType="solid">
        <fgColor rgb="FFFCE4D6"/>
        <bgColor rgb="FFFFE699"/>
      </patternFill>
    </fill>
    <fill>
      <patternFill patternType="solid">
        <fgColor rgb="FFD9D9D9"/>
        <b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/>
    <xf numFmtId="0" fontId="8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/>
    <xf numFmtId="0" fontId="9" fillId="3" borderId="1" xfId="0" applyFont="1" applyFill="1" applyBorder="1" applyAlignment="1">
      <alignment vertical="center" inden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/>
    <xf numFmtId="0" fontId="10" fillId="0" borderId="1" xfId="0" applyFont="1" applyBorder="1" applyAlignment="1">
      <alignment horizontal="center"/>
    </xf>
    <xf numFmtId="0" fontId="3" fillId="5" borderId="1" xfId="0" applyFont="1" applyFill="1" applyBorder="1" applyAlignment="1"/>
    <xf numFmtId="0" fontId="3" fillId="6" borderId="1" xfId="0" applyFont="1" applyFill="1" applyBorder="1" applyAlignment="1"/>
    <xf numFmtId="0" fontId="3" fillId="7" borderId="1" xfId="0" applyFont="1" applyFill="1" applyBorder="1" applyAlignment="1"/>
    <xf numFmtId="0" fontId="3" fillId="0" borderId="1" xfId="0" applyFont="1" applyBorder="1" applyAlignment="1"/>
    <xf numFmtId="0" fontId="11" fillId="0" borderId="1" xfId="0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6" fillId="0" borderId="1" xfId="0" applyFont="1" applyBorder="1" applyAlignment="1"/>
    <xf numFmtId="0" fontId="13" fillId="0" borderId="0" xfId="0" applyFont="1" applyAlignment="1"/>
    <xf numFmtId="0" fontId="14" fillId="0" borderId="1" xfId="0" applyFont="1" applyBorder="1" applyAlignment="1"/>
    <xf numFmtId="0" fontId="15" fillId="0" borderId="1" xfId="0" applyFont="1" applyBorder="1" applyAlignment="1"/>
    <xf numFmtId="14" fontId="14" fillId="0" borderId="1" xfId="0" applyNumberFormat="1" applyFont="1" applyBorder="1" applyAlignment="1"/>
    <xf numFmtId="0" fontId="12" fillId="0" borderId="0" xfId="0" applyFont="1" applyBorder="1" applyAlignment="1">
      <alignment wrapText="1"/>
    </xf>
  </cellXfs>
  <cellStyles count="1">
    <cellStyle name="Обычный" xfId="0" builtinId="0"/>
  </cellStyles>
  <dxfs count="4">
    <dxf>
      <font>
        <color rgb="FF808080"/>
      </font>
      <fill>
        <patternFill>
          <bgColor rgb="FFD9D9D9"/>
        </patternFill>
      </fill>
    </dxf>
    <dxf>
      <font>
        <color rgb="FF7F6000"/>
      </font>
      <fill>
        <patternFill>
          <bgColor rgb="FFFFE699"/>
        </patternFill>
      </fill>
    </dxf>
    <dxf>
      <font>
        <color rgb="FF843C0C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9"/>
  <sheetViews>
    <sheetView showGridLines="0" zoomScaleNormal="100" workbookViewId="0">
      <selection activeCell="C18" sqref="C18"/>
    </sheetView>
  </sheetViews>
  <sheetFormatPr defaultColWidth="8.7109375" defaultRowHeight="15" x14ac:dyDescent="0.25"/>
  <cols>
    <col min="1" max="1" width="3" style="1" customWidth="1"/>
    <col min="2" max="2" width="34" style="1" customWidth="1"/>
    <col min="3" max="3" width="95" style="1" customWidth="1"/>
  </cols>
  <sheetData>
    <row r="2" spans="2:3" ht="19.5" customHeight="1" x14ac:dyDescent="0.3">
      <c r="B2" s="2" t="s">
        <v>0</v>
      </c>
    </row>
    <row r="3" spans="2:3" ht="15" customHeight="1" x14ac:dyDescent="0.25">
      <c r="B3" s="3" t="s">
        <v>1</v>
      </c>
    </row>
    <row r="5" spans="2:3" ht="15" customHeight="1" x14ac:dyDescent="0.25">
      <c r="B5" s="4" t="s">
        <v>2</v>
      </c>
      <c r="C5" s="5" t="s">
        <v>3</v>
      </c>
    </row>
    <row r="6" spans="2:3" ht="15" customHeight="1" x14ac:dyDescent="0.25">
      <c r="B6" s="4" t="s">
        <v>4</v>
      </c>
      <c r="C6" s="5" t="s">
        <v>5</v>
      </c>
    </row>
    <row r="7" spans="2:3" ht="15" customHeight="1" x14ac:dyDescent="0.25">
      <c r="B7" s="4" t="s">
        <v>6</v>
      </c>
      <c r="C7" s="5" t="s">
        <v>7</v>
      </c>
    </row>
    <row r="8" spans="2:3" ht="15" customHeight="1" x14ac:dyDescent="0.25">
      <c r="B8" s="4" t="s">
        <v>8</v>
      </c>
      <c r="C8" s="5" t="s">
        <v>9</v>
      </c>
    </row>
    <row r="9" spans="2:3" ht="15" customHeight="1" x14ac:dyDescent="0.25">
      <c r="B9" s="4" t="s">
        <v>10</v>
      </c>
      <c r="C9" s="5" t="s">
        <v>11</v>
      </c>
    </row>
    <row r="11" spans="2:3" ht="15" customHeight="1" x14ac:dyDescent="0.25">
      <c r="B11" s="6" t="s">
        <v>12</v>
      </c>
    </row>
    <row r="12" spans="2:3" ht="63.75" customHeight="1" x14ac:dyDescent="0.25">
      <c r="C12" s="7" t="s">
        <v>13</v>
      </c>
    </row>
    <row r="14" spans="2:3" ht="15" customHeight="1" x14ac:dyDescent="0.25">
      <c r="B14" s="6" t="s">
        <v>14</v>
      </c>
    </row>
    <row r="15" spans="2:3" ht="27.75" customHeight="1" x14ac:dyDescent="0.25">
      <c r="C15" s="8" t="s">
        <v>15</v>
      </c>
    </row>
    <row r="16" spans="2:3" ht="27.75" customHeight="1" x14ac:dyDescent="0.25">
      <c r="C16" s="8" t="s">
        <v>16</v>
      </c>
    </row>
    <row r="17" spans="3:3" ht="27.75" customHeight="1" x14ac:dyDescent="0.25">
      <c r="C17" s="8" t="s">
        <v>17</v>
      </c>
    </row>
    <row r="18" spans="3:3" ht="27.75" customHeight="1" x14ac:dyDescent="0.25">
      <c r="C18" s="8" t="s">
        <v>18</v>
      </c>
    </row>
    <row r="19" spans="3:3" ht="27.75" customHeight="1" x14ac:dyDescent="0.25">
      <c r="C19" s="8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showGridLines="0" tabSelected="1" zoomScaleNormal="100"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F41" sqref="F41"/>
    </sheetView>
  </sheetViews>
  <sheetFormatPr defaultColWidth="8.7109375" defaultRowHeight="15" x14ac:dyDescent="0.25"/>
  <cols>
    <col min="1" max="1" width="6" style="1" customWidth="1"/>
    <col min="2" max="2" width="40" style="1" customWidth="1"/>
    <col min="3" max="3" width="20.140625" style="1" customWidth="1"/>
    <col min="4" max="4" width="18.7109375" style="1" customWidth="1"/>
    <col min="5" max="5" width="15" style="1" customWidth="1"/>
    <col min="6" max="6" width="51.140625" style="1" customWidth="1"/>
    <col min="7" max="7" width="20" style="1" customWidth="1"/>
    <col min="8" max="8" width="50.5703125" style="1" customWidth="1"/>
  </cols>
  <sheetData>
    <row r="1" spans="1:8" ht="18" x14ac:dyDescent="0.25">
      <c r="A1" s="9" t="s">
        <v>20</v>
      </c>
    </row>
    <row r="2" spans="1:8" ht="25.5" x14ac:dyDescent="0.25">
      <c r="A2" s="10" t="s">
        <v>21</v>
      </c>
      <c r="B2" s="10" t="s">
        <v>22</v>
      </c>
      <c r="C2" s="10" t="s">
        <v>23</v>
      </c>
      <c r="D2" s="10" t="s">
        <v>24</v>
      </c>
      <c r="E2" s="10" t="s">
        <v>25</v>
      </c>
      <c r="F2" s="10" t="s">
        <v>26</v>
      </c>
      <c r="G2" s="10" t="s">
        <v>27</v>
      </c>
      <c r="H2" s="10" t="s">
        <v>28</v>
      </c>
    </row>
    <row r="3" spans="1:8" x14ac:dyDescent="0.25">
      <c r="A3" s="11"/>
      <c r="B3" s="12" t="s">
        <v>29</v>
      </c>
      <c r="C3" s="11"/>
      <c r="D3" s="11"/>
      <c r="E3" s="11"/>
      <c r="F3" s="11"/>
      <c r="G3" s="11"/>
      <c r="H3" s="11"/>
    </row>
    <row r="4" spans="1:8" x14ac:dyDescent="0.25">
      <c r="A4" s="13">
        <v>1</v>
      </c>
      <c r="B4" s="14" t="s">
        <v>30</v>
      </c>
      <c r="C4" s="13" t="s">
        <v>31</v>
      </c>
      <c r="D4" s="13" t="s">
        <v>32</v>
      </c>
      <c r="E4" s="13" t="s">
        <v>33</v>
      </c>
      <c r="F4" s="13" t="s">
        <v>34</v>
      </c>
      <c r="G4" s="13" t="s">
        <v>35</v>
      </c>
      <c r="H4" s="13" t="s">
        <v>36</v>
      </c>
    </row>
    <row r="5" spans="1:8" x14ac:dyDescent="0.25">
      <c r="A5" s="13">
        <v>2</v>
      </c>
      <c r="B5" s="14" t="s">
        <v>37</v>
      </c>
      <c r="C5" s="13" t="s">
        <v>38</v>
      </c>
      <c r="D5" s="13" t="s">
        <v>39</v>
      </c>
      <c r="E5" s="13" t="s">
        <v>33</v>
      </c>
      <c r="F5" s="13" t="s">
        <v>40</v>
      </c>
      <c r="G5" s="13" t="s">
        <v>41</v>
      </c>
      <c r="H5" s="13" t="s">
        <v>42</v>
      </c>
    </row>
    <row r="6" spans="1:8" x14ac:dyDescent="0.25">
      <c r="A6" s="13">
        <v>3</v>
      </c>
      <c r="B6" s="14" t="s">
        <v>43</v>
      </c>
      <c r="C6" s="13" t="s">
        <v>38</v>
      </c>
      <c r="D6" s="13" t="s">
        <v>39</v>
      </c>
      <c r="E6" s="13" t="s">
        <v>33</v>
      </c>
      <c r="F6" s="13" t="s">
        <v>44</v>
      </c>
      <c r="G6" s="13" t="s">
        <v>41</v>
      </c>
      <c r="H6" s="13" t="s">
        <v>45</v>
      </c>
    </row>
    <row r="7" spans="1:8" x14ac:dyDescent="0.25">
      <c r="A7" s="13">
        <v>4</v>
      </c>
      <c r="B7" s="14" t="s">
        <v>46</v>
      </c>
      <c r="C7" s="13" t="s">
        <v>38</v>
      </c>
      <c r="D7" s="13" t="s">
        <v>39</v>
      </c>
      <c r="E7" s="13" t="s">
        <v>33</v>
      </c>
      <c r="F7" s="13" t="s">
        <v>47</v>
      </c>
      <c r="G7" s="13" t="s">
        <v>41</v>
      </c>
      <c r="H7" s="13" t="s">
        <v>48</v>
      </c>
    </row>
    <row r="8" spans="1:8" ht="25.5" x14ac:dyDescent="0.25">
      <c r="A8" s="13">
        <v>5</v>
      </c>
      <c r="B8" s="14" t="s">
        <v>49</v>
      </c>
      <c r="C8" s="13" t="s">
        <v>50</v>
      </c>
      <c r="D8" s="13" t="s">
        <v>51</v>
      </c>
      <c r="E8" s="13" t="s">
        <v>33</v>
      </c>
      <c r="F8" s="13" t="s">
        <v>52</v>
      </c>
      <c r="G8" s="13" t="s">
        <v>41</v>
      </c>
      <c r="H8" s="13" t="s">
        <v>53</v>
      </c>
    </row>
    <row r="9" spans="1:8" x14ac:dyDescent="0.25">
      <c r="A9" s="13">
        <v>6</v>
      </c>
      <c r="B9" s="14" t="s">
        <v>54</v>
      </c>
      <c r="C9" s="13" t="s">
        <v>38</v>
      </c>
      <c r="D9" s="13" t="s">
        <v>39</v>
      </c>
      <c r="E9" s="13" t="s">
        <v>33</v>
      </c>
      <c r="F9" s="13" t="s">
        <v>55</v>
      </c>
      <c r="G9" s="13" t="s">
        <v>41</v>
      </c>
      <c r="H9" s="13" t="s">
        <v>56</v>
      </c>
    </row>
    <row r="10" spans="1:8" x14ac:dyDescent="0.25">
      <c r="A10" s="13">
        <v>7</v>
      </c>
      <c r="B10" s="14" t="s">
        <v>57</v>
      </c>
      <c r="C10" s="13" t="s">
        <v>58</v>
      </c>
      <c r="D10" s="13" t="s">
        <v>51</v>
      </c>
      <c r="E10" s="13" t="s">
        <v>33</v>
      </c>
      <c r="F10" s="13" t="s">
        <v>59</v>
      </c>
      <c r="G10" s="13" t="s">
        <v>41</v>
      </c>
      <c r="H10" s="13" t="s">
        <v>60</v>
      </c>
    </row>
    <row r="11" spans="1:8" x14ac:dyDescent="0.25">
      <c r="A11" s="13">
        <v>8</v>
      </c>
      <c r="B11" s="14" t="s">
        <v>61</v>
      </c>
      <c r="C11" s="13" t="s">
        <v>50</v>
      </c>
      <c r="D11" s="13" t="s">
        <v>51</v>
      </c>
      <c r="E11" s="13" t="s">
        <v>33</v>
      </c>
      <c r="F11" s="13" t="s">
        <v>62</v>
      </c>
      <c r="G11" s="13" t="s">
        <v>41</v>
      </c>
      <c r="H11" s="13" t="s">
        <v>63</v>
      </c>
    </row>
    <row r="12" spans="1:8" x14ac:dyDescent="0.25">
      <c r="A12" s="13">
        <v>9</v>
      </c>
      <c r="B12" s="14" t="s">
        <v>64</v>
      </c>
      <c r="C12" s="13" t="s">
        <v>50</v>
      </c>
      <c r="D12" s="13" t="s">
        <v>51</v>
      </c>
      <c r="E12" s="13" t="s">
        <v>33</v>
      </c>
      <c r="F12" s="13" t="s">
        <v>65</v>
      </c>
      <c r="G12" s="13" t="s">
        <v>41</v>
      </c>
      <c r="H12" s="13" t="s">
        <v>66</v>
      </c>
    </row>
    <row r="13" spans="1:8" x14ac:dyDescent="0.25">
      <c r="A13" s="13">
        <v>10</v>
      </c>
      <c r="B13" s="14" t="s">
        <v>67</v>
      </c>
      <c r="C13" s="13" t="s">
        <v>58</v>
      </c>
      <c r="D13" s="13" t="s">
        <v>51</v>
      </c>
      <c r="E13" s="13" t="s">
        <v>33</v>
      </c>
      <c r="F13" s="13" t="s">
        <v>68</v>
      </c>
      <c r="G13" s="13" t="s">
        <v>41</v>
      </c>
      <c r="H13" s="13" t="s">
        <v>69</v>
      </c>
    </row>
    <row r="14" spans="1:8" x14ac:dyDescent="0.25">
      <c r="A14" s="13">
        <v>11</v>
      </c>
      <c r="B14" s="14" t="s">
        <v>70</v>
      </c>
      <c r="C14" s="13" t="s">
        <v>38</v>
      </c>
      <c r="D14" s="13" t="s">
        <v>39</v>
      </c>
      <c r="E14" s="13" t="s">
        <v>33</v>
      </c>
      <c r="F14" s="13" t="s">
        <v>71</v>
      </c>
      <c r="G14" s="13" t="s">
        <v>41</v>
      </c>
      <c r="H14" s="13" t="s">
        <v>72</v>
      </c>
    </row>
    <row r="15" spans="1:8" x14ac:dyDescent="0.25">
      <c r="A15" s="13">
        <v>12</v>
      </c>
      <c r="B15" s="14" t="s">
        <v>73</v>
      </c>
      <c r="C15" s="13" t="s">
        <v>50</v>
      </c>
      <c r="D15" s="13" t="s">
        <v>51</v>
      </c>
      <c r="E15" s="13" t="s">
        <v>33</v>
      </c>
      <c r="F15" s="13" t="s">
        <v>74</v>
      </c>
      <c r="G15" s="13" t="s">
        <v>41</v>
      </c>
      <c r="H15" s="13" t="s">
        <v>75</v>
      </c>
    </row>
    <row r="16" spans="1:8" x14ac:dyDescent="0.25">
      <c r="A16" s="13">
        <v>13</v>
      </c>
      <c r="B16" s="14" t="s">
        <v>76</v>
      </c>
      <c r="C16" s="13" t="s">
        <v>77</v>
      </c>
      <c r="D16" s="13" t="s">
        <v>78</v>
      </c>
      <c r="E16" s="13" t="s">
        <v>33</v>
      </c>
      <c r="F16" s="13" t="s">
        <v>79</v>
      </c>
      <c r="G16" s="13" t="s">
        <v>41</v>
      </c>
      <c r="H16" s="13" t="s">
        <v>80</v>
      </c>
    </row>
    <row r="17" spans="1:8" x14ac:dyDescent="0.25">
      <c r="A17" s="13">
        <v>14</v>
      </c>
      <c r="B17" s="14" t="s">
        <v>81</v>
      </c>
      <c r="C17" s="13" t="s">
        <v>38</v>
      </c>
      <c r="D17" s="13" t="s">
        <v>39</v>
      </c>
      <c r="E17" s="13" t="s">
        <v>33</v>
      </c>
      <c r="F17" s="13" t="s">
        <v>82</v>
      </c>
      <c r="G17" s="13" t="s">
        <v>41</v>
      </c>
      <c r="H17" s="13" t="s">
        <v>83</v>
      </c>
    </row>
    <row r="18" spans="1:8" x14ac:dyDescent="0.25">
      <c r="A18" s="11"/>
      <c r="B18" s="12" t="s">
        <v>84</v>
      </c>
      <c r="C18" s="11"/>
      <c r="D18" s="11"/>
      <c r="E18" s="11"/>
      <c r="F18" s="11"/>
      <c r="G18" s="11"/>
      <c r="H18" s="11"/>
    </row>
    <row r="19" spans="1:8" x14ac:dyDescent="0.25">
      <c r="A19" s="13">
        <v>15</v>
      </c>
      <c r="B19" s="14" t="s">
        <v>85</v>
      </c>
      <c r="C19" s="13" t="s">
        <v>38</v>
      </c>
      <c r="D19" s="13" t="s">
        <v>39</v>
      </c>
      <c r="E19" s="13" t="s">
        <v>33</v>
      </c>
      <c r="F19" s="13" t="s">
        <v>218</v>
      </c>
      <c r="G19" s="13" t="s">
        <v>87</v>
      </c>
      <c r="H19" s="13" t="s">
        <v>88</v>
      </c>
    </row>
    <row r="20" spans="1:8" x14ac:dyDescent="0.25">
      <c r="A20" s="13">
        <v>16</v>
      </c>
      <c r="B20" s="14" t="s">
        <v>89</v>
      </c>
      <c r="C20" s="13" t="s">
        <v>38</v>
      </c>
      <c r="D20" s="13" t="s">
        <v>39</v>
      </c>
      <c r="E20" s="13" t="s">
        <v>33</v>
      </c>
      <c r="F20" s="13" t="s">
        <v>219</v>
      </c>
      <c r="G20" s="13" t="s">
        <v>87</v>
      </c>
      <c r="H20" s="13" t="s">
        <v>90</v>
      </c>
    </row>
    <row r="21" spans="1:8" x14ac:dyDescent="0.25">
      <c r="A21" s="13">
        <v>17</v>
      </c>
      <c r="B21" s="14" t="s">
        <v>91</v>
      </c>
      <c r="C21" s="13" t="s">
        <v>38</v>
      </c>
      <c r="D21" s="13" t="s">
        <v>39</v>
      </c>
      <c r="E21" s="13" t="s">
        <v>33</v>
      </c>
      <c r="F21" s="13" t="s">
        <v>220</v>
      </c>
      <c r="G21" s="13" t="s">
        <v>87</v>
      </c>
      <c r="H21" s="13" t="s">
        <v>92</v>
      </c>
    </row>
    <row r="22" spans="1:8" x14ac:dyDescent="0.25">
      <c r="A22" s="13">
        <v>18</v>
      </c>
      <c r="B22" s="14" t="s">
        <v>93</v>
      </c>
      <c r="C22" s="13" t="s">
        <v>38</v>
      </c>
      <c r="D22" s="13" t="s">
        <v>39</v>
      </c>
      <c r="E22" s="13" t="s">
        <v>33</v>
      </c>
      <c r="F22" s="13" t="s">
        <v>221</v>
      </c>
      <c r="G22" s="13" t="s">
        <v>87</v>
      </c>
      <c r="H22" s="13" t="s">
        <v>94</v>
      </c>
    </row>
    <row r="23" spans="1:8" x14ac:dyDescent="0.25">
      <c r="A23" s="13">
        <v>19</v>
      </c>
      <c r="B23" s="14" t="s">
        <v>95</v>
      </c>
      <c r="C23" s="13" t="s">
        <v>50</v>
      </c>
      <c r="D23" s="13" t="s">
        <v>51</v>
      </c>
      <c r="E23" s="13" t="s">
        <v>33</v>
      </c>
      <c r="F23" s="13" t="s">
        <v>217</v>
      </c>
      <c r="G23" s="13" t="s">
        <v>87</v>
      </c>
      <c r="H23" s="13" t="s">
        <v>96</v>
      </c>
    </row>
    <row r="24" spans="1:8" x14ac:dyDescent="0.25">
      <c r="A24" s="13">
        <v>20</v>
      </c>
      <c r="B24" s="14" t="s">
        <v>97</v>
      </c>
      <c r="C24" s="13" t="s">
        <v>58</v>
      </c>
      <c r="D24" s="13" t="s">
        <v>51</v>
      </c>
      <c r="E24" s="13" t="s">
        <v>33</v>
      </c>
      <c r="F24" s="13" t="s">
        <v>98</v>
      </c>
      <c r="G24" s="13" t="s">
        <v>87</v>
      </c>
      <c r="H24" s="13" t="s">
        <v>99</v>
      </c>
    </row>
    <row r="25" spans="1:8" x14ac:dyDescent="0.25">
      <c r="A25" s="13">
        <v>21</v>
      </c>
      <c r="B25" s="14" t="s">
        <v>100</v>
      </c>
      <c r="C25" s="13" t="s">
        <v>50</v>
      </c>
      <c r="D25" s="13" t="s">
        <v>51</v>
      </c>
      <c r="E25" s="13" t="s">
        <v>33</v>
      </c>
      <c r="F25" s="13" t="s">
        <v>216</v>
      </c>
      <c r="G25" s="13" t="s">
        <v>101</v>
      </c>
      <c r="H25" s="13" t="s">
        <v>102</v>
      </c>
    </row>
    <row r="26" spans="1:8" x14ac:dyDescent="0.25">
      <c r="A26" s="11"/>
      <c r="B26" s="12" t="s">
        <v>103</v>
      </c>
      <c r="C26" s="11"/>
      <c r="D26" s="11"/>
      <c r="E26" s="11"/>
      <c r="F26" s="11"/>
      <c r="G26" s="11"/>
      <c r="H26" s="11"/>
    </row>
    <row r="27" spans="1:8" x14ac:dyDescent="0.25">
      <c r="A27" s="13">
        <v>22</v>
      </c>
      <c r="B27" s="14" t="s">
        <v>104</v>
      </c>
      <c r="C27" s="13" t="s">
        <v>105</v>
      </c>
      <c r="D27" s="13" t="s">
        <v>39</v>
      </c>
      <c r="E27" s="13" t="s">
        <v>33</v>
      </c>
      <c r="F27" s="13" t="s">
        <v>106</v>
      </c>
      <c r="G27" s="13" t="s">
        <v>101</v>
      </c>
      <c r="H27" s="13" t="s">
        <v>107</v>
      </c>
    </row>
    <row r="28" spans="1:8" x14ac:dyDescent="0.25">
      <c r="A28" s="13">
        <v>23</v>
      </c>
      <c r="B28" s="14" t="s">
        <v>108</v>
      </c>
      <c r="C28" s="13" t="s">
        <v>105</v>
      </c>
      <c r="D28" s="13" t="s">
        <v>39</v>
      </c>
      <c r="E28" s="13" t="s">
        <v>33</v>
      </c>
      <c r="F28" s="13" t="s">
        <v>109</v>
      </c>
      <c r="G28" s="13" t="s">
        <v>101</v>
      </c>
      <c r="H28" s="13" t="s">
        <v>110</v>
      </c>
    </row>
    <row r="29" spans="1:8" x14ac:dyDescent="0.25">
      <c r="A29" s="13">
        <v>24</v>
      </c>
      <c r="B29" s="14" t="s">
        <v>111</v>
      </c>
      <c r="C29" s="13" t="s">
        <v>105</v>
      </c>
      <c r="D29" s="13" t="s">
        <v>39</v>
      </c>
      <c r="E29" s="13" t="s">
        <v>33</v>
      </c>
      <c r="F29" s="13" t="s">
        <v>112</v>
      </c>
      <c r="G29" s="13" t="s">
        <v>101</v>
      </c>
      <c r="H29" s="13" t="s">
        <v>113</v>
      </c>
    </row>
    <row r="30" spans="1:8" x14ac:dyDescent="0.25">
      <c r="A30" s="13">
        <v>25</v>
      </c>
      <c r="B30" s="14" t="s">
        <v>114</v>
      </c>
      <c r="C30" s="13" t="s">
        <v>38</v>
      </c>
      <c r="D30" s="13" t="s">
        <v>39</v>
      </c>
      <c r="E30" s="13" t="s">
        <v>33</v>
      </c>
      <c r="F30" s="13" t="s">
        <v>222</v>
      </c>
      <c r="G30" s="13" t="s">
        <v>87</v>
      </c>
      <c r="H30" s="13" t="s">
        <v>115</v>
      </c>
    </row>
    <row r="31" spans="1:8" x14ac:dyDescent="0.25">
      <c r="A31" s="13">
        <v>26</v>
      </c>
      <c r="B31" s="14" t="s">
        <v>116</v>
      </c>
      <c r="C31" s="13" t="s">
        <v>117</v>
      </c>
      <c r="D31" s="13" t="s">
        <v>39</v>
      </c>
      <c r="E31" s="13" t="s">
        <v>33</v>
      </c>
      <c r="F31" s="13" t="s">
        <v>227</v>
      </c>
      <c r="G31" s="13" t="s">
        <v>101</v>
      </c>
      <c r="H31" s="13" t="s">
        <v>118</v>
      </c>
    </row>
    <row r="32" spans="1:8" x14ac:dyDescent="0.25">
      <c r="A32" s="13">
        <v>27</v>
      </c>
      <c r="B32" s="14" t="s">
        <v>119</v>
      </c>
      <c r="C32" s="13" t="s">
        <v>117</v>
      </c>
      <c r="D32" s="13" t="s">
        <v>39</v>
      </c>
      <c r="E32" s="13" t="s">
        <v>33</v>
      </c>
      <c r="F32" s="13" t="s">
        <v>120</v>
      </c>
      <c r="G32" s="13" t="s">
        <v>121</v>
      </c>
      <c r="H32" s="13" t="s">
        <v>122</v>
      </c>
    </row>
    <row r="33" spans="1:8" x14ac:dyDescent="0.25">
      <c r="A33" s="13">
        <v>28</v>
      </c>
      <c r="B33" s="14" t="s">
        <v>123</v>
      </c>
      <c r="C33" s="13" t="s">
        <v>117</v>
      </c>
      <c r="D33" s="13" t="s">
        <v>39</v>
      </c>
      <c r="E33" s="13" t="s">
        <v>33</v>
      </c>
      <c r="F33" s="13" t="s">
        <v>124</v>
      </c>
      <c r="G33" s="13" t="s">
        <v>125</v>
      </c>
      <c r="H33" s="13" t="s">
        <v>126</v>
      </c>
    </row>
    <row r="34" spans="1:8" x14ac:dyDescent="0.25">
      <c r="A34" s="13">
        <v>29</v>
      </c>
      <c r="B34" s="14" t="s">
        <v>127</v>
      </c>
      <c r="C34" s="13" t="s">
        <v>117</v>
      </c>
      <c r="D34" s="13" t="s">
        <v>39</v>
      </c>
      <c r="E34" s="13" t="s">
        <v>33</v>
      </c>
      <c r="F34" s="13" t="s">
        <v>128</v>
      </c>
      <c r="G34" s="13" t="s">
        <v>101</v>
      </c>
      <c r="H34" s="13" t="s">
        <v>129</v>
      </c>
    </row>
    <row r="35" spans="1:8" x14ac:dyDescent="0.25">
      <c r="A35" s="13">
        <v>30</v>
      </c>
      <c r="B35" s="14" t="s">
        <v>130</v>
      </c>
      <c r="C35" s="13" t="s">
        <v>38</v>
      </c>
      <c r="D35" s="13" t="s">
        <v>39</v>
      </c>
      <c r="E35" s="13" t="s">
        <v>33</v>
      </c>
      <c r="F35" s="13" t="s">
        <v>228</v>
      </c>
      <c r="G35" s="13" t="s">
        <v>121</v>
      </c>
      <c r="H35" s="13" t="s">
        <v>131</v>
      </c>
    </row>
    <row r="36" spans="1:8" ht="25.5" x14ac:dyDescent="0.25">
      <c r="A36" s="13">
        <v>31</v>
      </c>
      <c r="B36" s="14" t="s">
        <v>132</v>
      </c>
      <c r="C36" s="13" t="s">
        <v>38</v>
      </c>
      <c r="D36" s="13" t="s">
        <v>39</v>
      </c>
      <c r="E36" s="13" t="s">
        <v>33</v>
      </c>
      <c r="F36" s="13" t="s">
        <v>229</v>
      </c>
      <c r="G36" s="13" t="s">
        <v>101</v>
      </c>
      <c r="H36" s="13" t="s">
        <v>133</v>
      </c>
    </row>
    <row r="37" spans="1:8" x14ac:dyDescent="0.25">
      <c r="A37" s="13">
        <v>32</v>
      </c>
      <c r="B37" s="14" t="s">
        <v>134</v>
      </c>
      <c r="C37" s="13" t="s">
        <v>38</v>
      </c>
      <c r="D37" s="13" t="s">
        <v>39</v>
      </c>
      <c r="E37" s="13" t="s">
        <v>33</v>
      </c>
      <c r="F37" s="13" t="s">
        <v>230</v>
      </c>
      <c r="G37" s="13" t="s">
        <v>87</v>
      </c>
      <c r="H37" s="13" t="s">
        <v>135</v>
      </c>
    </row>
    <row r="38" spans="1:8" x14ac:dyDescent="0.25">
      <c r="A38" s="11"/>
      <c r="B38" s="12" t="s">
        <v>136</v>
      </c>
      <c r="C38" s="11"/>
      <c r="D38" s="11"/>
      <c r="E38" s="11"/>
      <c r="F38" s="11"/>
      <c r="G38" s="11"/>
      <c r="H38" s="11"/>
    </row>
    <row r="39" spans="1:8" x14ac:dyDescent="0.25">
      <c r="A39" s="13">
        <v>33</v>
      </c>
      <c r="B39" s="14" t="s">
        <v>137</v>
      </c>
      <c r="C39" s="13" t="s">
        <v>50</v>
      </c>
      <c r="D39" s="13" t="s">
        <v>51</v>
      </c>
      <c r="E39" s="13" t="s">
        <v>33</v>
      </c>
      <c r="F39" s="13" t="s">
        <v>138</v>
      </c>
      <c r="G39" s="13" t="s">
        <v>139</v>
      </c>
      <c r="H39" s="13" t="s">
        <v>140</v>
      </c>
    </row>
    <row r="40" spans="1:8" x14ac:dyDescent="0.25">
      <c r="A40" s="13">
        <v>34</v>
      </c>
      <c r="B40" s="14" t="s">
        <v>141</v>
      </c>
      <c r="C40" s="13" t="s">
        <v>50</v>
      </c>
      <c r="D40" s="13" t="s">
        <v>51</v>
      </c>
      <c r="E40" s="13" t="s">
        <v>33</v>
      </c>
      <c r="F40" s="13" t="s">
        <v>231</v>
      </c>
      <c r="G40" s="13" t="s">
        <v>142</v>
      </c>
      <c r="H40" s="13" t="s">
        <v>143</v>
      </c>
    </row>
    <row r="41" spans="1:8" x14ac:dyDescent="0.25">
      <c r="A41" s="13">
        <v>35</v>
      </c>
      <c r="B41" s="14" t="s">
        <v>144</v>
      </c>
      <c r="C41" s="13" t="s">
        <v>38</v>
      </c>
      <c r="D41" s="13" t="s">
        <v>39</v>
      </c>
      <c r="E41" s="13" t="s">
        <v>33</v>
      </c>
      <c r="F41" s="13" t="s">
        <v>232</v>
      </c>
      <c r="G41" s="13" t="s">
        <v>101</v>
      </c>
      <c r="H41" s="13" t="s">
        <v>145</v>
      </c>
    </row>
    <row r="42" spans="1:8" x14ac:dyDescent="0.25">
      <c r="A42" s="13">
        <v>36</v>
      </c>
      <c r="B42" s="14" t="s">
        <v>146</v>
      </c>
      <c r="C42" s="13" t="s">
        <v>38</v>
      </c>
      <c r="D42" s="13" t="s">
        <v>39</v>
      </c>
      <c r="E42" s="13" t="s">
        <v>33</v>
      </c>
      <c r="F42" s="13" t="s">
        <v>233</v>
      </c>
      <c r="G42" s="13" t="s">
        <v>142</v>
      </c>
      <c r="H42" s="13" t="s">
        <v>147</v>
      </c>
    </row>
    <row r="43" spans="1:8" x14ac:dyDescent="0.25">
      <c r="A43" s="11"/>
      <c r="B43" s="12" t="s">
        <v>148</v>
      </c>
      <c r="C43" s="11"/>
      <c r="D43" s="11"/>
      <c r="E43" s="11"/>
      <c r="F43" s="11"/>
      <c r="G43" s="11"/>
      <c r="H43" s="11"/>
    </row>
    <row r="44" spans="1:8" x14ac:dyDescent="0.25">
      <c r="A44" s="13">
        <v>37</v>
      </c>
      <c r="B44" s="14" t="s">
        <v>149</v>
      </c>
      <c r="C44" s="13" t="s">
        <v>38</v>
      </c>
      <c r="D44" s="13" t="s">
        <v>39</v>
      </c>
      <c r="E44" s="13" t="s">
        <v>33</v>
      </c>
      <c r="F44" s="13" t="s">
        <v>150</v>
      </c>
      <c r="G44" s="13" t="s">
        <v>151</v>
      </c>
      <c r="H44" s="13" t="s">
        <v>152</v>
      </c>
    </row>
    <row r="45" spans="1:8" x14ac:dyDescent="0.25">
      <c r="A45" s="13">
        <v>38</v>
      </c>
      <c r="B45" s="14" t="s">
        <v>153</v>
      </c>
      <c r="C45" s="13" t="s">
        <v>50</v>
      </c>
      <c r="D45" s="13" t="s">
        <v>51</v>
      </c>
      <c r="E45" s="13" t="s">
        <v>33</v>
      </c>
      <c r="F45" s="13" t="s">
        <v>154</v>
      </c>
      <c r="G45" s="13" t="s">
        <v>151</v>
      </c>
      <c r="H45" s="13" t="s">
        <v>155</v>
      </c>
    </row>
    <row r="46" spans="1:8" x14ac:dyDescent="0.25">
      <c r="A46" s="13">
        <v>39</v>
      </c>
      <c r="B46" s="14" t="s">
        <v>156</v>
      </c>
      <c r="C46" s="13" t="s">
        <v>38</v>
      </c>
      <c r="D46" s="13" t="s">
        <v>39</v>
      </c>
      <c r="E46" s="13" t="s">
        <v>86</v>
      </c>
      <c r="F46" s="13"/>
      <c r="G46" s="13" t="s">
        <v>151</v>
      </c>
      <c r="H46" s="13" t="s">
        <v>157</v>
      </c>
    </row>
    <row r="47" spans="1:8" x14ac:dyDescent="0.25">
      <c r="A47" s="13">
        <v>40</v>
      </c>
      <c r="B47" s="14" t="s">
        <v>158</v>
      </c>
      <c r="C47" s="13" t="s">
        <v>50</v>
      </c>
      <c r="D47" s="13" t="s">
        <v>51</v>
      </c>
      <c r="E47" s="13" t="s">
        <v>86</v>
      </c>
      <c r="F47" s="13"/>
      <c r="G47" s="13" t="s">
        <v>151</v>
      </c>
      <c r="H47" s="13" t="s">
        <v>159</v>
      </c>
    </row>
    <row r="48" spans="1:8" x14ac:dyDescent="0.25">
      <c r="A48" s="13">
        <v>41</v>
      </c>
      <c r="B48" s="14" t="s">
        <v>160</v>
      </c>
      <c r="C48" s="13" t="s">
        <v>38</v>
      </c>
      <c r="D48" s="13" t="s">
        <v>39</v>
      </c>
      <c r="E48" s="13" t="s">
        <v>86</v>
      </c>
      <c r="F48" s="13"/>
      <c r="G48" s="13" t="s">
        <v>151</v>
      </c>
      <c r="H48" s="13" t="s">
        <v>161</v>
      </c>
    </row>
    <row r="49" spans="1:8" x14ac:dyDescent="0.25">
      <c r="A49" s="11"/>
      <c r="B49" s="12" t="s">
        <v>162</v>
      </c>
      <c r="C49" s="11"/>
      <c r="D49" s="11"/>
      <c r="E49" s="11"/>
      <c r="F49" s="11"/>
      <c r="G49" s="11"/>
      <c r="H49" s="11"/>
    </row>
    <row r="50" spans="1:8" ht="25.5" x14ac:dyDescent="0.25">
      <c r="A50" s="13">
        <v>42</v>
      </c>
      <c r="B50" s="14" t="s">
        <v>163</v>
      </c>
      <c r="C50" s="13" t="s">
        <v>77</v>
      </c>
      <c r="D50" s="13" t="s">
        <v>39</v>
      </c>
      <c r="E50" s="13" t="s">
        <v>86</v>
      </c>
      <c r="F50" s="13"/>
      <c r="G50" s="13" t="s">
        <v>164</v>
      </c>
      <c r="H50" s="13" t="s">
        <v>165</v>
      </c>
    </row>
    <row r="51" spans="1:8" x14ac:dyDescent="0.25">
      <c r="A51" s="13">
        <v>43</v>
      </c>
      <c r="B51" s="14" t="s">
        <v>166</v>
      </c>
      <c r="C51" s="13" t="s">
        <v>38</v>
      </c>
      <c r="D51" s="13" t="s">
        <v>39</v>
      </c>
      <c r="E51" s="13" t="s">
        <v>86</v>
      </c>
      <c r="F51" s="13"/>
      <c r="G51" s="13" t="s">
        <v>125</v>
      </c>
      <c r="H51" s="13" t="s">
        <v>167</v>
      </c>
    </row>
    <row r="52" spans="1:8" x14ac:dyDescent="0.25">
      <c r="A52" s="13">
        <v>44</v>
      </c>
      <c r="B52" s="14" t="s">
        <v>168</v>
      </c>
      <c r="C52" s="13" t="s">
        <v>38</v>
      </c>
      <c r="D52" s="13" t="s">
        <v>39</v>
      </c>
      <c r="E52" s="13" t="s">
        <v>86</v>
      </c>
      <c r="F52" s="13"/>
      <c r="G52" s="13" t="s">
        <v>169</v>
      </c>
      <c r="H52" s="13" t="s">
        <v>170</v>
      </c>
    </row>
    <row r="53" spans="1:8" x14ac:dyDescent="0.25">
      <c r="A53" s="13">
        <v>45</v>
      </c>
      <c r="B53" s="14" t="s">
        <v>171</v>
      </c>
      <c r="C53" s="13" t="s">
        <v>38</v>
      </c>
      <c r="D53" s="13" t="s">
        <v>39</v>
      </c>
      <c r="E53" s="13" t="s">
        <v>86</v>
      </c>
      <c r="F53" s="13"/>
      <c r="G53" s="13" t="s">
        <v>41</v>
      </c>
      <c r="H53" s="13" t="s">
        <v>172</v>
      </c>
    </row>
    <row r="54" spans="1:8" x14ac:dyDescent="0.25">
      <c r="A54" s="13">
        <v>46</v>
      </c>
      <c r="B54" s="14" t="s">
        <v>173</v>
      </c>
      <c r="C54" s="13" t="s">
        <v>50</v>
      </c>
      <c r="D54" s="13" t="s">
        <v>51</v>
      </c>
      <c r="E54" s="13" t="s">
        <v>86</v>
      </c>
      <c r="F54" s="13"/>
      <c r="G54" s="13" t="s">
        <v>41</v>
      </c>
      <c r="H54" s="13" t="s">
        <v>174</v>
      </c>
    </row>
    <row r="55" spans="1:8" x14ac:dyDescent="0.25">
      <c r="A55" s="13">
        <v>47</v>
      </c>
      <c r="B55" s="14" t="s">
        <v>175</v>
      </c>
      <c r="C55" s="13" t="s">
        <v>38</v>
      </c>
      <c r="D55" s="13" t="s">
        <v>39</v>
      </c>
      <c r="E55" s="13" t="s">
        <v>86</v>
      </c>
      <c r="F55" s="13"/>
      <c r="G55" s="13" t="s">
        <v>41</v>
      </c>
      <c r="H55" s="13" t="s">
        <v>176</v>
      </c>
    </row>
    <row r="56" spans="1:8" x14ac:dyDescent="0.25">
      <c r="A56" s="11"/>
      <c r="B56" s="12" t="s">
        <v>177</v>
      </c>
      <c r="C56" s="11"/>
      <c r="D56" s="11"/>
      <c r="E56" s="11"/>
      <c r="F56" s="11"/>
      <c r="G56" s="11"/>
      <c r="H56" s="11"/>
    </row>
    <row r="57" spans="1:8" x14ac:dyDescent="0.25">
      <c r="A57" s="13">
        <v>48</v>
      </c>
      <c r="B57" s="14" t="s">
        <v>178</v>
      </c>
      <c r="C57" s="13" t="s">
        <v>38</v>
      </c>
      <c r="D57" s="13" t="s">
        <v>39</v>
      </c>
      <c r="E57" s="13" t="s">
        <v>86</v>
      </c>
      <c r="F57" s="13"/>
      <c r="G57" s="13" t="s">
        <v>179</v>
      </c>
      <c r="H57" s="13" t="s">
        <v>180</v>
      </c>
    </row>
    <row r="58" spans="1:8" x14ac:dyDescent="0.25">
      <c r="A58" s="13">
        <v>49</v>
      </c>
      <c r="B58" s="14" t="s">
        <v>181</v>
      </c>
      <c r="C58" s="13" t="s">
        <v>38</v>
      </c>
      <c r="D58" s="13" t="s">
        <v>39</v>
      </c>
      <c r="E58" s="13" t="s">
        <v>86</v>
      </c>
      <c r="F58" s="13"/>
      <c r="G58" s="13" t="s">
        <v>179</v>
      </c>
      <c r="H58" s="13" t="s">
        <v>182</v>
      </c>
    </row>
    <row r="59" spans="1:8" ht="25.5" x14ac:dyDescent="0.25">
      <c r="A59" s="13">
        <v>50</v>
      </c>
      <c r="B59" s="14" t="s">
        <v>183</v>
      </c>
      <c r="C59" s="13" t="s">
        <v>38</v>
      </c>
      <c r="D59" s="13" t="s">
        <v>39</v>
      </c>
      <c r="E59" s="13" t="s">
        <v>86</v>
      </c>
      <c r="F59" s="13"/>
      <c r="G59" s="13" t="s">
        <v>184</v>
      </c>
      <c r="H59" s="13" t="s">
        <v>185</v>
      </c>
    </row>
    <row r="60" spans="1:8" x14ac:dyDescent="0.25">
      <c r="A60" s="13">
        <v>51</v>
      </c>
      <c r="B60" s="14" t="s">
        <v>186</v>
      </c>
      <c r="C60" s="13" t="s">
        <v>38</v>
      </c>
      <c r="D60" s="13" t="s">
        <v>39</v>
      </c>
      <c r="E60" s="13" t="s">
        <v>86</v>
      </c>
      <c r="F60" s="13"/>
      <c r="G60" s="13" t="s">
        <v>179</v>
      </c>
      <c r="H60" s="13" t="s">
        <v>187</v>
      </c>
    </row>
    <row r="61" spans="1:8" x14ac:dyDescent="0.25">
      <c r="A61" s="11"/>
      <c r="B61" s="12" t="s">
        <v>188</v>
      </c>
      <c r="C61" s="11"/>
      <c r="D61" s="11"/>
      <c r="E61" s="11"/>
      <c r="F61" s="11"/>
      <c r="G61" s="11"/>
      <c r="H61" s="11"/>
    </row>
    <row r="62" spans="1:8" x14ac:dyDescent="0.25">
      <c r="A62" s="13">
        <v>52</v>
      </c>
      <c r="B62" s="14" t="s">
        <v>189</v>
      </c>
      <c r="C62" s="13" t="s">
        <v>38</v>
      </c>
      <c r="D62" s="13" t="s">
        <v>39</v>
      </c>
      <c r="E62" s="13" t="s">
        <v>86</v>
      </c>
      <c r="F62" s="13"/>
      <c r="G62" s="13" t="s">
        <v>190</v>
      </c>
      <c r="H62" s="13" t="s">
        <v>191</v>
      </c>
    </row>
    <row r="63" spans="1:8" x14ac:dyDescent="0.25">
      <c r="A63" s="13">
        <v>53</v>
      </c>
      <c r="B63" s="14" t="s">
        <v>192</v>
      </c>
      <c r="C63" s="13" t="s">
        <v>38</v>
      </c>
      <c r="D63" s="13" t="s">
        <v>39</v>
      </c>
      <c r="E63" s="13" t="s">
        <v>86</v>
      </c>
      <c r="F63" s="13"/>
      <c r="G63" s="13" t="s">
        <v>41</v>
      </c>
      <c r="H63" s="13" t="s">
        <v>193</v>
      </c>
    </row>
    <row r="64" spans="1:8" x14ac:dyDescent="0.25">
      <c r="A64" s="13">
        <v>54</v>
      </c>
      <c r="B64" s="14" t="s">
        <v>194</v>
      </c>
      <c r="C64" s="13" t="s">
        <v>38</v>
      </c>
      <c r="D64" s="13" t="s">
        <v>39</v>
      </c>
      <c r="E64" s="13" t="s">
        <v>86</v>
      </c>
      <c r="F64" s="13"/>
      <c r="G64" s="13" t="s">
        <v>41</v>
      </c>
      <c r="H64" s="13" t="s">
        <v>195</v>
      </c>
    </row>
    <row r="65" spans="1:8" x14ac:dyDescent="0.25">
      <c r="A65" s="13">
        <v>55</v>
      </c>
      <c r="B65" s="14" t="s">
        <v>196</v>
      </c>
      <c r="C65" s="13" t="s">
        <v>50</v>
      </c>
      <c r="D65" s="13" t="s">
        <v>51</v>
      </c>
      <c r="E65" s="13" t="s">
        <v>86</v>
      </c>
      <c r="F65" s="13"/>
      <c r="G65" s="13" t="s">
        <v>41</v>
      </c>
      <c r="H65" s="13" t="s">
        <v>197</v>
      </c>
    </row>
  </sheetData>
  <autoFilter ref="A2:H65" xr:uid="{00000000-0009-0000-0000-000001000000}"/>
  <conditionalFormatting sqref="E3:E65">
    <cfRule type="cellIs" dxfId="3" priority="2" operator="equal">
      <formula>"Готов"</formula>
    </cfRule>
    <cfRule type="cellIs" dxfId="2" priority="3" operator="equal">
      <formula>"Не создан"</formula>
    </cfRule>
    <cfRule type="cellIs" dxfId="1" priority="4" operator="equal">
      <formula>"В работе"</formula>
    </cfRule>
    <cfRule type="cellIs" dxfId="0" priority="5" operator="equal">
      <formula>"Не требуется"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Выберите из списка" xr:uid="{00000000-0002-0000-0100-000000000000}">
          <x14:formula1>
            <xm:f>Справочники!$B$2:$B$8</xm:f>
          </x14:formula1>
          <x14:formula2>
            <xm:f>0</xm:f>
          </x14:formula2>
          <xm:sqref>C3:C65</xm:sqref>
        </x14:dataValidation>
        <x14:dataValidation type="list" allowBlank="1" error="Выберите из списка" xr:uid="{00000000-0002-0000-0100-000001000000}">
          <x14:formula1>
            <xm:f>Справочники!$C$2:$C$6</xm:f>
          </x14:formula1>
          <x14:formula2>
            <xm:f>0</xm:f>
          </x14:formula2>
          <xm:sqref>D3:D65</xm:sqref>
        </x14:dataValidation>
        <x14:dataValidation type="list" allowBlank="1" error="Выберите из списка" xr:uid="{00000000-0002-0000-0100-000002000000}">
          <x14:formula1>
            <xm:f>Справочники!$D$2:$D$5</xm:f>
          </x14:formula1>
          <x14:formula2>
            <xm:f>0</xm:f>
          </x14:formula2>
          <xm:sqref>E3:E65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8"/>
  <sheetViews>
    <sheetView showGridLines="0" zoomScaleNormal="100" workbookViewId="0">
      <selection activeCell="C9" sqref="C9"/>
    </sheetView>
  </sheetViews>
  <sheetFormatPr defaultColWidth="8.7109375" defaultRowHeight="15" x14ac:dyDescent="0.25"/>
  <cols>
    <col min="1" max="1" width="3" style="1" customWidth="1"/>
    <col min="2" max="2" width="26" style="1" customWidth="1"/>
    <col min="3" max="3" width="14" style="1" customWidth="1"/>
  </cols>
  <sheetData>
    <row r="2" spans="2:3" ht="17.25" customHeight="1" x14ac:dyDescent="0.25">
      <c r="B2" s="9" t="s">
        <v>198</v>
      </c>
    </row>
    <row r="3" spans="2:3" ht="15" customHeight="1" x14ac:dyDescent="0.25">
      <c r="B3" s="3" t="s">
        <v>199</v>
      </c>
    </row>
    <row r="5" spans="2:3" ht="15" customHeight="1" x14ac:dyDescent="0.25">
      <c r="B5" s="6" t="s">
        <v>200</v>
      </c>
    </row>
    <row r="6" spans="2:3" ht="15" customHeight="1" x14ac:dyDescent="0.25">
      <c r="B6" s="10" t="s">
        <v>201</v>
      </c>
      <c r="C6" s="10" t="s">
        <v>202</v>
      </c>
    </row>
    <row r="7" spans="2:3" ht="15" customHeight="1" x14ac:dyDescent="0.25">
      <c r="B7" s="15" t="s">
        <v>33</v>
      </c>
      <c r="C7" s="16">
        <f>COUNTIF('Реестр документов'!$E$3:$E$65,"Готов")</f>
        <v>38</v>
      </c>
    </row>
    <row r="8" spans="2:3" ht="15" customHeight="1" x14ac:dyDescent="0.25">
      <c r="B8" s="17" t="s">
        <v>203</v>
      </c>
      <c r="C8" s="16">
        <f>COUNTIF('Реестр документов'!$E$3:$E$65,"В работе")</f>
        <v>0</v>
      </c>
    </row>
    <row r="9" spans="2:3" ht="15" customHeight="1" x14ac:dyDescent="0.25">
      <c r="B9" s="18" t="s">
        <v>86</v>
      </c>
      <c r="C9" s="16">
        <f>COUNTIF('Реестр документов'!$E$3:$E$65,"Не создан")</f>
        <v>17</v>
      </c>
    </row>
    <row r="10" spans="2:3" ht="15" customHeight="1" x14ac:dyDescent="0.25">
      <c r="B10" s="19" t="s">
        <v>204</v>
      </c>
      <c r="C10" s="16">
        <f>COUNTIF('Реестр документов'!$E$3:$E$65,"Не требуется")</f>
        <v>0</v>
      </c>
    </row>
    <row r="11" spans="2:3" ht="15" customHeight="1" x14ac:dyDescent="0.25">
      <c r="B11" s="20" t="s">
        <v>205</v>
      </c>
      <c r="C11" s="21">
        <f>COUNTIF('Реестр документов'!$E$3:$E$65,"Готов")+COUNTIF('Реестр документов'!$E$3:$E$65,"В работе")+COUNTIF('Реестр документов'!$E$3:$E$65,"Не создан")+COUNTIF('Реестр документов'!$E$3:$E$65,"Не требуется")</f>
        <v>55</v>
      </c>
    </row>
    <row r="12" spans="2:3" ht="15" customHeight="1" x14ac:dyDescent="0.25">
      <c r="B12" s="20" t="s">
        <v>206</v>
      </c>
      <c r="C12" s="22">
        <f>IFERROR(COUNTIF('Реестр документов'!$E$3:$E$65,"Готов")/(COUNTIF('Реестр документов'!$E$3:$E$65,"Готов")+COUNTIF('Реестр документов'!$E$3:$E$65,"В работе")+COUNTIF('Реестр документов'!$E$3:$E$65,"Не создан")),0)</f>
        <v>0.69090909090909092</v>
      </c>
    </row>
    <row r="14" spans="2:3" ht="15" customHeight="1" x14ac:dyDescent="0.25">
      <c r="B14" s="28" t="s">
        <v>207</v>
      </c>
      <c r="C14" s="28"/>
    </row>
    <row r="15" spans="2:3" ht="15" customHeight="1" x14ac:dyDescent="0.25">
      <c r="B15" s="28"/>
      <c r="C15" s="28"/>
    </row>
    <row r="16" spans="2:3" ht="15" customHeight="1" x14ac:dyDescent="0.25">
      <c r="B16" s="28"/>
      <c r="C16" s="28"/>
    </row>
    <row r="17" spans="2:3" ht="15" customHeight="1" x14ac:dyDescent="0.25">
      <c r="B17" s="28"/>
      <c r="C17" s="28"/>
    </row>
    <row r="18" spans="2:3" ht="15" customHeight="1" x14ac:dyDescent="0.25">
      <c r="B18" s="28"/>
      <c r="C18" s="28"/>
    </row>
  </sheetData>
  <mergeCells count="1">
    <mergeCell ref="B14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showGridLines="0" zoomScaleNormal="100" workbookViewId="0"/>
  </sheetViews>
  <sheetFormatPr defaultColWidth="8.7109375" defaultRowHeight="15" x14ac:dyDescent="0.25"/>
  <cols>
    <col min="1" max="1" width="28" style="1" customWidth="1"/>
    <col min="2" max="2" width="22" style="1" customWidth="1"/>
    <col min="3" max="4" width="24" style="1" customWidth="1"/>
  </cols>
  <sheetData>
    <row r="1" spans="1:4" ht="15" customHeight="1" x14ac:dyDescent="0.25">
      <c r="A1" s="10" t="s">
        <v>208</v>
      </c>
      <c r="B1" s="10" t="s">
        <v>23</v>
      </c>
      <c r="C1" s="10" t="s">
        <v>24</v>
      </c>
      <c r="D1" s="10" t="s">
        <v>25</v>
      </c>
    </row>
    <row r="2" spans="1:4" ht="15" customHeight="1" x14ac:dyDescent="0.25">
      <c r="A2" s="23" t="s">
        <v>29</v>
      </c>
      <c r="B2" s="23" t="s">
        <v>38</v>
      </c>
      <c r="C2" s="23" t="s">
        <v>39</v>
      </c>
      <c r="D2" s="23" t="s">
        <v>33</v>
      </c>
    </row>
    <row r="3" spans="1:4" ht="15" customHeight="1" x14ac:dyDescent="0.25">
      <c r="A3" s="23" t="s">
        <v>84</v>
      </c>
      <c r="B3" s="23" t="s">
        <v>50</v>
      </c>
      <c r="C3" s="23" t="s">
        <v>51</v>
      </c>
      <c r="D3" s="23" t="s">
        <v>86</v>
      </c>
    </row>
    <row r="4" spans="1:4" ht="15" customHeight="1" x14ac:dyDescent="0.25">
      <c r="A4" s="23" t="s">
        <v>103</v>
      </c>
      <c r="B4" s="23" t="s">
        <v>58</v>
      </c>
      <c r="C4" s="23" t="s">
        <v>78</v>
      </c>
      <c r="D4" s="23" t="s">
        <v>203</v>
      </c>
    </row>
    <row r="5" spans="1:4" ht="15" customHeight="1" x14ac:dyDescent="0.25">
      <c r="A5" s="23" t="s">
        <v>136</v>
      </c>
      <c r="B5" s="23" t="s">
        <v>77</v>
      </c>
      <c r="C5" s="23" t="s">
        <v>32</v>
      </c>
      <c r="D5" s="23" t="s">
        <v>204</v>
      </c>
    </row>
    <row r="6" spans="1:4" ht="15" customHeight="1" x14ac:dyDescent="0.25">
      <c r="A6" s="23" t="s">
        <v>148</v>
      </c>
      <c r="B6" s="23" t="s">
        <v>117</v>
      </c>
      <c r="C6" s="23" t="s">
        <v>209</v>
      </c>
    </row>
    <row r="7" spans="1:4" ht="15" customHeight="1" x14ac:dyDescent="0.25">
      <c r="A7" s="23" t="s">
        <v>162</v>
      </c>
      <c r="B7" s="23" t="s">
        <v>105</v>
      </c>
    </row>
    <row r="8" spans="1:4" ht="15" customHeight="1" x14ac:dyDescent="0.25">
      <c r="A8" s="23" t="s">
        <v>177</v>
      </c>
      <c r="B8" s="23" t="s">
        <v>31</v>
      </c>
    </row>
    <row r="9" spans="1:4" ht="15" customHeight="1" x14ac:dyDescent="0.25">
      <c r="A9" s="23" t="s">
        <v>188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>
      <selection activeCell="D11" sqref="D11"/>
    </sheetView>
  </sheetViews>
  <sheetFormatPr defaultColWidth="8.7109375" defaultRowHeight="15" x14ac:dyDescent="0.25"/>
  <cols>
    <col min="1" max="1" width="12" style="1" customWidth="1"/>
    <col min="2" max="2" width="16" style="1" customWidth="1"/>
    <col min="3" max="3" width="70" style="1" customWidth="1"/>
    <col min="4" max="4" width="24" style="1" customWidth="1"/>
  </cols>
  <sheetData>
    <row r="1" spans="1:4" ht="15.75" customHeight="1" x14ac:dyDescent="0.25">
      <c r="A1" s="24" t="s">
        <v>210</v>
      </c>
    </row>
    <row r="2" spans="1:4" ht="15" customHeight="1" x14ac:dyDescent="0.25">
      <c r="A2" s="10" t="s">
        <v>211</v>
      </c>
      <c r="B2" s="10" t="s">
        <v>212</v>
      </c>
      <c r="C2" s="10" t="s">
        <v>213</v>
      </c>
      <c r="D2" s="10" t="s">
        <v>214</v>
      </c>
    </row>
    <row r="3" spans="1:4" ht="15" customHeight="1" x14ac:dyDescent="0.25">
      <c r="A3" s="25" t="s">
        <v>223</v>
      </c>
      <c r="B3" s="27">
        <v>46189</v>
      </c>
      <c r="C3" s="25" t="s">
        <v>215</v>
      </c>
      <c r="D3" s="25" t="s">
        <v>226</v>
      </c>
    </row>
    <row r="4" spans="1:4" ht="15" customHeight="1" x14ac:dyDescent="0.25">
      <c r="A4" s="25" t="s">
        <v>224</v>
      </c>
      <c r="B4" s="27">
        <v>46193</v>
      </c>
      <c r="C4" s="25" t="s">
        <v>225</v>
      </c>
      <c r="D4" s="25" t="s">
        <v>226</v>
      </c>
    </row>
    <row r="5" spans="1:4" ht="15" customHeight="1" x14ac:dyDescent="0.25">
      <c r="A5" s="26"/>
      <c r="B5" s="26"/>
      <c r="C5" s="26"/>
      <c r="D5" s="26"/>
    </row>
    <row r="6" spans="1:4" ht="15" customHeight="1" x14ac:dyDescent="0.25">
      <c r="A6" s="26"/>
      <c r="B6" s="26"/>
      <c r="C6" s="26"/>
      <c r="D6" s="26"/>
    </row>
    <row r="7" spans="1:4" ht="15" customHeight="1" x14ac:dyDescent="0.25">
      <c r="A7" s="26"/>
      <c r="B7" s="26"/>
      <c r="C7" s="26"/>
      <c r="D7" s="2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Реестр документов</vt:lpstr>
      <vt:lpstr>Сводка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Руслан Халилов</cp:lastModifiedBy>
  <cp:revision>0</cp:revision>
  <dcterms:created xsi:type="dcterms:W3CDTF">2026-06-19T08:41:18Z</dcterms:created>
  <dcterms:modified xsi:type="dcterms:W3CDTF">2026-06-21T17:15:21Z</dcterms:modified>
  <dc:language>en-US</dc:language>
</cp:coreProperties>
</file>