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YandexDisk\Проектное управление (шаблоны документов)\Project documents (samples)\"/>
    </mc:Choice>
  </mc:AlternateContent>
  <xr:revisionPtr revIDLastSave="0" documentId="8_{554FA566-36E4-4F58-98CA-5BF351ED202A}" xr6:coauthVersionLast="47" xr6:coauthVersionMax="47" xr10:uidLastSave="{00000000-0000-0000-0000-000000000000}"/>
  <bookViews>
    <workbookView xWindow="16755" yWindow="2040" windowWidth="25860" windowHeight="16530" tabRatio="500" activeTab="1" xr2:uid="{00000000-000D-0000-FFFF-FFFF00000000}"/>
  </bookViews>
  <sheets>
    <sheet name="Инструкция" sheetId="1" r:id="rId1"/>
    <sheet name="Журнал дефектов" sheetId="2" r:id="rId2"/>
    <sheet name="Сводка" sheetId="3" r:id="rId3"/>
    <sheet name="Справочники" sheetId="4" r:id="rId4"/>
    <sheet name="Журнал изменений" sheetId="5" r:id="rId5"/>
  </sheets>
  <definedNames>
    <definedName name="_xlnm._FilterDatabase" localSheetId="1" hidden="1">'Журнал дефектов'!$A$2:$Q$252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3" l="1"/>
  <c r="F13" i="3"/>
  <c r="F12" i="3"/>
  <c r="C12" i="3"/>
  <c r="F11" i="3"/>
  <c r="C11" i="3"/>
  <c r="F10" i="3"/>
  <c r="C10" i="3"/>
  <c r="F9" i="3"/>
  <c r="C9" i="3"/>
  <c r="F8" i="3"/>
  <c r="C8" i="3"/>
  <c r="F7" i="3"/>
  <c r="C7" i="3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C1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2" authorId="0" shapeId="0" xr:uid="{00000000-0006-0000-0100-000001000000}">
      <text>
        <r>
          <rPr>
            <sz val="10"/>
            <rFont val="Arial"/>
            <family val="2"/>
          </rPr>
          <t>Трассировка к тест-кейсу из Реестра тест-кейсов.</t>
        </r>
      </text>
    </comment>
    <comment ref="N2" authorId="0" shapeId="0" xr:uid="{00000000-0006-0000-0100-000002000000}">
      <text>
        <r>
          <rPr>
            <sz val="10"/>
            <rFont val="Arial"/>
            <family val="2"/>
          </rPr>
          <t>Авто: «Просрочен» (красным), если открытый дефект просрочен по сроку SLA.</t>
        </r>
      </text>
    </comment>
  </commentList>
</comments>
</file>

<file path=xl/sharedStrings.xml><?xml version="1.0" encoding="utf-8"?>
<sst xmlns="http://schemas.openxmlformats.org/spreadsheetml/2006/main" count="163" uniqueCount="116">
  <si>
    <t>ЖУРНАЛ ДЕФЕКТОВ</t>
  </si>
  <si>
    <t>Bug Tracking Log — учёт дефектов по результатам тестирования</t>
  </si>
  <si>
    <t>Проект:</t>
  </si>
  <si>
    <t>[Наименование проекта]</t>
  </si>
  <si>
    <t>Заказчик:</t>
  </si>
  <si>
    <t>[Компания-Заказчик]</t>
  </si>
  <si>
    <t>Версия документа:</t>
  </si>
  <si>
    <t>[0.1]</t>
  </si>
  <si>
    <t>Дата:</t>
  </si>
  <si>
    <t>[ДД.ММ.ГГГГ]</t>
  </si>
  <si>
    <t>Владелец документа:</t>
  </si>
  <si>
    <t>[Руководитель тестирования / QA]</t>
  </si>
  <si>
    <t>Назначение</t>
  </si>
  <si>
    <t>Журнал ведёт учёт дефектов, выявленных при тестировании и в ОПЭ: их серьёзность, статус устранения, связь с тест-кейсами и требованиями. Классификация серьёзности и SLA согласованы с Планом тестирования (раздел 6). Реализовавшиеся системные проблемы могут эскалироваться в Issue Log.</t>
  </si>
  <si>
    <t>Состав листов</t>
  </si>
  <si>
    <t>Журнал дефектов</t>
  </si>
  <si>
    <t>Основной журнал. Одна строка — один дефект.</t>
  </si>
  <si>
    <t>Сводка</t>
  </si>
  <si>
    <t>Аналитика по серьёзности, статусам; контроль SLA и просрочки.</t>
  </si>
  <si>
    <t>Справочники</t>
  </si>
  <si>
    <t>Списки значений для выпадающих полей.</t>
  </si>
  <si>
    <t>Журнал изменений</t>
  </si>
  <si>
    <t>Версии документа.</t>
  </si>
  <si>
    <t>Как заполнять</t>
  </si>
  <si>
    <t>•  ID: BUG-NNN. Связывайте с тест-кейсом (TC) и требованием (REQ) — трассировка к источнику.</t>
  </si>
  <si>
    <t>•  Серьёзность: Блокирующий / Критический / Значительный / Незначительный (как в Плане тестирования).</t>
  </si>
  <si>
    <t>•  Статус по жизненному циклу: Открыт → Назначен → Исправлен → Проверен → Закрыт / Отклонён / Отложен.</t>
  </si>
  <si>
    <t>•  Указывайте срок устранения по SLA серьёзности; поле «Контроль SLA» подсветит просроченные.</t>
  </si>
  <si>
    <t>•  Для блокирующих/критических — приоритетное устранение перед приёмкой (критерий выхода тестирования).</t>
  </si>
  <si>
    <t>BUG ID</t>
  </si>
  <si>
    <t>Дата выявления</t>
  </si>
  <si>
    <t>Кто выявил</t>
  </si>
  <si>
    <t>Краткое описание</t>
  </si>
  <si>
    <t>Шаги воспроизведения</t>
  </si>
  <si>
    <t>Серьёзность</t>
  </si>
  <si>
    <t>Приоритет</t>
  </si>
  <si>
    <t>Уровень тестир.</t>
  </si>
  <si>
    <t>Подсистема</t>
  </si>
  <si>
    <t>Связ. тест-кейс (TC)</t>
  </si>
  <si>
    <t>Связ. требование (REQ)</t>
  </si>
  <si>
    <t>Назначен на</t>
  </si>
  <si>
    <t>Срок (SLA)</t>
  </si>
  <si>
    <t>Контроль SLA</t>
  </si>
  <si>
    <t>Статус</t>
  </si>
  <si>
    <t>Дата закрытия</t>
  </si>
  <si>
    <t>Примечание</t>
  </si>
  <si>
    <t>BUG-001</t>
  </si>
  <si>
    <t>[ФИО]</t>
  </si>
  <si>
    <t>Ошибка округления при расчёте себестоимости</t>
  </si>
  <si>
    <t>1) Запустить расчёт 2) Сверить с эталоном</t>
  </si>
  <si>
    <t>Критический</t>
  </si>
  <si>
    <t>Высокий</t>
  </si>
  <si>
    <t>Функциональный</t>
  </si>
  <si>
    <t>Производство</t>
  </si>
  <si>
    <t>TC-031</t>
  </si>
  <si>
    <t>REQ-002</t>
  </si>
  <si>
    <t>Исправлен</t>
  </si>
  <si>
    <t>Связ. с DEV-001</t>
  </si>
  <si>
    <t>BUG-002</t>
  </si>
  <si>
    <t>Обмен с MES падает при пустом поле</t>
  </si>
  <si>
    <t>1) Отправить запись без поля 2) Обмен</t>
  </si>
  <si>
    <t>Блокирующий</t>
  </si>
  <si>
    <t>Интеграционный</t>
  </si>
  <si>
    <t>Интеграции</t>
  </si>
  <si>
    <t>TC-052</t>
  </si>
  <si>
    <t>REQ-004</t>
  </si>
  <si>
    <t>Открыт</t>
  </si>
  <si>
    <t>Блокирует интеграц. тесты</t>
  </si>
  <si>
    <t>BUG-003</t>
  </si>
  <si>
    <t>Некорректный заголовок печатной формы</t>
  </si>
  <si>
    <t>1) Открыть печать счёта</t>
  </si>
  <si>
    <t>Незначительный</t>
  </si>
  <si>
    <t>Низкий</t>
  </si>
  <si>
    <t>Продажи</t>
  </si>
  <si>
    <t>TC-090</t>
  </si>
  <si>
    <t>REQ-…</t>
  </si>
  <si>
    <t>Закрыт</t>
  </si>
  <si>
    <t>Сводка по дефектам</t>
  </si>
  <si>
    <t>Считается автоматически по листу «Журнал дефектов».</t>
  </si>
  <si>
    <t>По серьёзности</t>
  </si>
  <si>
    <t>По статусу</t>
  </si>
  <si>
    <t>Кол-во</t>
  </si>
  <si>
    <t>Назначен</t>
  </si>
  <si>
    <t>Значительный</t>
  </si>
  <si>
    <t>Проверен</t>
  </si>
  <si>
    <t>Всего дефектов</t>
  </si>
  <si>
    <t>Открытых блок./крит.</t>
  </si>
  <si>
    <t>Отклонён</t>
  </si>
  <si>
    <t>Просрочено по SLA</t>
  </si>
  <si>
    <t>Отложен</t>
  </si>
  <si>
    <t>Переоткрыт</t>
  </si>
  <si>
    <t>Критерий выхода тестирования: открытых блокирующих/критических = 0 (см. План тестирования, р.5.2).</t>
  </si>
  <si>
    <t>Уровень тестирования</t>
  </si>
  <si>
    <t>Финансы и казначейство</t>
  </si>
  <si>
    <t>Средний</t>
  </si>
  <si>
    <t>Регламентированный учёт</t>
  </si>
  <si>
    <t>Нагрузочный</t>
  </si>
  <si>
    <t>Консолидация (1С:УХ)</t>
  </si>
  <si>
    <t>Миграционный</t>
  </si>
  <si>
    <t>Приёмочный (UAT)</t>
  </si>
  <si>
    <t>Закупки/склад</t>
  </si>
  <si>
    <t>Регрессионный</t>
  </si>
  <si>
    <t>ОПЭ</t>
  </si>
  <si>
    <t>HR/ЗП</t>
  </si>
  <si>
    <t>НСИ</t>
  </si>
  <si>
    <t>Миграция</t>
  </si>
  <si>
    <t>Общесистемное</t>
  </si>
  <si>
    <t>Журнал изменений документа</t>
  </si>
  <si>
    <t>Версия</t>
  </si>
  <si>
    <t>Дата</t>
  </si>
  <si>
    <t>Описание изменений</t>
  </si>
  <si>
    <t>Автор</t>
  </si>
  <si>
    <t>0.1</t>
  </si>
  <si>
    <t>ДД.ММ.ГГГГ</t>
  </si>
  <si>
    <t>Создание документа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</si>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</sst>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i/>
      <sz val="10"/>
      <color rgb="FF808080"/>
      <name val="Arial"/>
      <charset val="1"/>
    </font>
    <font>
      <b/>
      <sz val="10"/>
      <name val="Arial"/>
      <charset val="1"/>
    </font>
    <font>
      <sz val="10"/>
      <color rgb="FF2E75B6"/>
      <name val="Arial"/>
      <charset val="1"/>
    </font>
    <font>
      <b/>
      <sz val="12"/>
      <color rgb="FF2E75B6"/>
      <name val="Arial"/>
      <charset val="1"/>
    </font>
    <font>
      <sz val="10"/>
      <name val="Arial"/>
      <charset val="1"/>
    </font>
    <font>
      <b/>
      <sz val="14"/>
      <color rgb="FF1F4E79"/>
      <name val="Arial"/>
      <charset val="1"/>
    </font>
    <font>
      <b/>
      <sz val="10"/>
      <color rgb="FFFFFFFF"/>
      <name val="Arial"/>
      <charset val="1"/>
    </font>
    <font>
      <i/>
      <sz val="10"/>
      <color rgb="FF2E75B6"/>
      <name val="Arial"/>
      <charset val="1"/>
    </font>
    <font>
      <sz val="10"/>
      <name val="Arial"/>
      <family val="2"/>
    </font>
    <font>
      <b/>
      <sz val="10"/>
      <color rgb="FF843C0C"/>
      <name val="Arial"/>
      <charset val="1"/>
    </font>
    <font>
      <b/>
      <sz val="10"/>
      <color rgb="FF7F6000"/>
      <name val="Arial"/>
      <charset val="1"/>
    </font>
    <font>
      <b/>
      <sz val="10"/>
      <color rgb="FF375623"/>
      <name val="Arial"/>
      <charset val="1"/>
    </font>
    <font>
      <b/>
      <sz val="11"/>
      <color rgb="FF1F4E79"/>
      <name val="Arial"/>
      <charset val="1"/>
    </font>
    <font>
      <b/>
      <sz val="11"/>
      <name val="Arial"/>
      <charset val="1"/>
    </font>
    <font>
      <i/>
      <sz val="9"/>
      <color rgb="FF808080"/>
      <name val="Arial"/>
      <charset val="1"/>
    </font>
    <font>
      <b/>
      <sz val="13"/>
      <color rgb="FF1F4E79"/>
      <name val="Arial"/>
      <charset val="1"/>
    </font>
    <font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F4B183"/>
        <bgColor rgb="FFFF99CC"/>
      </patternFill>
    </fill>
    <fill>
      <patternFill patternType="solid">
        <fgColor rgb="FFFFE699"/>
        <bgColor rgb="FFFFFFCC"/>
      </patternFill>
    </fill>
    <fill>
      <patternFill patternType="solid">
        <fgColor rgb="FFC6E0B4"/>
        <b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6" fillId="0" borderId="0" xfId="0" applyFont="1" applyBorder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vertical="top" wrapText="1"/>
    </xf>
    <xf numFmtId="0" fontId="8" fillId="3" borderId="1" xfId="0" applyFont="1" applyFill="1" applyBorder="1"/>
    <xf numFmtId="0" fontId="3" fillId="0" borderId="1" xfId="0" applyFont="1" applyBorder="1" applyAlignment="1">
      <alignment horizontal="center"/>
    </xf>
    <xf numFmtId="0" fontId="6" fillId="0" borderId="1" xfId="0" applyFont="1" applyBorder="1"/>
    <xf numFmtId="0" fontId="11" fillId="4" borderId="1" xfId="0" applyFont="1" applyFill="1" applyBorder="1"/>
    <xf numFmtId="0" fontId="12" fillId="5" borderId="1" xfId="0" applyFont="1" applyFill="1" applyBorder="1"/>
    <xf numFmtId="0" fontId="13" fillId="6" borderId="1" xfId="0" applyFont="1" applyFill="1" applyBorder="1"/>
    <xf numFmtId="0" fontId="3" fillId="0" borderId="1" xfId="0" applyFont="1" applyBorder="1"/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7" fillId="0" borderId="0" xfId="0" applyFont="1"/>
    <xf numFmtId="0" fontId="9" fillId="0" borderId="1" xfId="0" applyFont="1" applyBorder="1"/>
    <xf numFmtId="0" fontId="18" fillId="0" borderId="1" xfId="0" applyFont="1" applyBorder="1"/>
  </cellXfs>
  <cellStyles count="1">
    <cellStyle name="Обычный" xfId="0" builtinId="0"/>
  </cellStyles>
  <dxfs count="9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843C0C"/>
      </font>
      <fill>
        <patternFill>
          <bgColor rgb="FFF4B183"/>
        </patternFill>
      </fill>
    </dxf>
    <dxf>
      <font>
        <b/>
        <color rgb="FF375623"/>
      </font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183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183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43C0C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5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32" customWidth="1"/>
    <col min="3" max="3" width="95" customWidth="1"/>
  </cols>
  <sheetData>
    <row r="2" spans="2:3" ht="20.25" x14ac:dyDescent="0.3">
      <c r="B2" s="2" t="s">
        <v>0</v>
      </c>
    </row>
    <row r="3" spans="2:3" x14ac:dyDescent="0.25">
      <c r="B3" s="3" t="s">
        <v>1</v>
      </c>
    </row>
    <row r="5" spans="2:3" x14ac:dyDescent="0.25">
      <c r="B5" s="4" t="s">
        <v>2</v>
      </c>
      <c r="C5" s="5" t="s">
        <v>3</v>
      </c>
    </row>
    <row r="6" spans="2:3" x14ac:dyDescent="0.25">
      <c r="B6" s="4" t="s">
        <v>4</v>
      </c>
      <c r="C6" s="5" t="s">
        <v>5</v>
      </c>
    </row>
    <row r="7" spans="2:3" x14ac:dyDescent="0.25">
      <c r="B7" s="4" t="s">
        <v>6</v>
      </c>
      <c r="C7" s="5" t="s">
        <v>7</v>
      </c>
    </row>
    <row r="8" spans="2:3" x14ac:dyDescent="0.25">
      <c r="B8" s="4" t="s">
        <v>8</v>
      </c>
      <c r="C8" s="5" t="s">
        <v>9</v>
      </c>
    </row>
    <row r="9" spans="2:3" x14ac:dyDescent="0.25">
      <c r="B9" s="4" t="s">
        <v>10</v>
      </c>
      <c r="C9" s="5" t="s">
        <v>11</v>
      </c>
    </row>
    <row r="11" spans="2:3" ht="15.75" x14ac:dyDescent="0.25">
      <c r="B11" s="6" t="s">
        <v>12</v>
      </c>
    </row>
    <row r="12" spans="2:3" ht="55.5" customHeight="1" x14ac:dyDescent="0.25">
      <c r="C12" s="7" t="s">
        <v>13</v>
      </c>
    </row>
    <row r="14" spans="2:3" ht="15.75" x14ac:dyDescent="0.25">
      <c r="B14" s="6" t="s">
        <v>14</v>
      </c>
    </row>
    <row r="15" spans="2:3" x14ac:dyDescent="0.25">
      <c r="B15" s="4" t="s">
        <v>15</v>
      </c>
      <c r="C15" s="8" t="s">
        <v>16</v>
      </c>
    </row>
    <row r="16" spans="2:3" x14ac:dyDescent="0.25">
      <c r="B16" s="4" t="s">
        <v>17</v>
      </c>
      <c r="C16" s="8" t="s">
        <v>18</v>
      </c>
    </row>
    <row r="17" spans="2:3" x14ac:dyDescent="0.25">
      <c r="B17" s="4" t="s">
        <v>19</v>
      </c>
      <c r="C17" s="8" t="s">
        <v>20</v>
      </c>
    </row>
    <row r="18" spans="2:3" x14ac:dyDescent="0.25">
      <c r="B18" s="4" t="s">
        <v>21</v>
      </c>
      <c r="C18" s="8" t="s">
        <v>22</v>
      </c>
    </row>
    <row r="20" spans="2:3" ht="15.75" x14ac:dyDescent="0.25">
      <c r="B20" s="6" t="s">
        <v>23</v>
      </c>
    </row>
    <row r="21" spans="2:3" ht="27.75" customHeight="1" x14ac:dyDescent="0.25">
      <c r="C21" s="8" t="s">
        <v>24</v>
      </c>
    </row>
    <row r="22" spans="2:3" ht="27.75" customHeight="1" x14ac:dyDescent="0.25">
      <c r="C22" s="8" t="s">
        <v>25</v>
      </c>
    </row>
    <row r="23" spans="2:3" ht="27.75" customHeight="1" x14ac:dyDescent="0.25">
      <c r="C23" s="8" t="s">
        <v>26</v>
      </c>
    </row>
    <row r="24" spans="2:3" ht="27.75" customHeight="1" x14ac:dyDescent="0.25">
      <c r="C24" s="8" t="s">
        <v>27</v>
      </c>
    </row>
    <row r="25" spans="2:3" ht="27.75" customHeight="1" x14ac:dyDescent="0.25">
      <c r="C25" s="8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2"/>
  <sheetViews>
    <sheetView showGridLines="0" tabSelected="1" zoomScaleNormal="100"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K13" sqref="K13"/>
    </sheetView>
  </sheetViews>
  <sheetFormatPr defaultColWidth="8.7109375" defaultRowHeight="15" x14ac:dyDescent="0.25"/>
  <cols>
    <col min="1" max="1" width="9" customWidth="1"/>
    <col min="2" max="2" width="13" customWidth="1"/>
    <col min="3" max="3" width="16" customWidth="1"/>
    <col min="4" max="4" width="34" customWidth="1"/>
    <col min="5" max="5" width="30" customWidth="1"/>
    <col min="6" max="6" width="17.85546875" bestFit="1" customWidth="1"/>
    <col min="7" max="7" width="12" customWidth="1"/>
    <col min="8" max="8" width="16" customWidth="1"/>
    <col min="9" max="9" width="18" customWidth="1"/>
    <col min="10" max="11" width="15" customWidth="1"/>
    <col min="12" max="12" width="16" customWidth="1"/>
    <col min="13" max="13" width="15.5703125" bestFit="1" customWidth="1"/>
    <col min="14" max="14" width="13" customWidth="1"/>
    <col min="15" max="15" width="14" customWidth="1"/>
    <col min="16" max="16" width="13" customWidth="1"/>
    <col min="17" max="17" width="22" customWidth="1"/>
  </cols>
  <sheetData>
    <row r="1" spans="1:17" ht="18" x14ac:dyDescent="0.25">
      <c r="A1" s="9" t="s">
        <v>15</v>
      </c>
    </row>
    <row r="2" spans="1:17" ht="39.75" customHeight="1" x14ac:dyDescent="0.25">
      <c r="A2" s="10" t="s">
        <v>29</v>
      </c>
      <c r="B2" s="10" t="s">
        <v>30</v>
      </c>
      <c r="C2" s="10" t="s">
        <v>31</v>
      </c>
      <c r="D2" s="10" t="s">
        <v>32</v>
      </c>
      <c r="E2" s="10" t="s">
        <v>33</v>
      </c>
      <c r="F2" s="10" t="s">
        <v>34</v>
      </c>
      <c r="G2" s="10" t="s">
        <v>35</v>
      </c>
      <c r="H2" s="10" t="s">
        <v>36</v>
      </c>
      <c r="I2" s="10" t="s">
        <v>37</v>
      </c>
      <c r="J2" s="10" t="s">
        <v>38</v>
      </c>
      <c r="K2" s="10" t="s">
        <v>39</v>
      </c>
      <c r="L2" s="10" t="s">
        <v>40</v>
      </c>
      <c r="M2" s="10" t="s">
        <v>41</v>
      </c>
      <c r="N2" s="10" t="s">
        <v>42</v>
      </c>
      <c r="O2" s="10" t="s">
        <v>43</v>
      </c>
      <c r="P2" s="10" t="s">
        <v>44</v>
      </c>
      <c r="Q2" s="10" t="s">
        <v>45</v>
      </c>
    </row>
    <row r="3" spans="1:17" ht="25.5" x14ac:dyDescent="0.25">
      <c r="A3" s="11" t="s">
        <v>46</v>
      </c>
      <c r="B3" s="11" t="s">
        <v>9</v>
      </c>
      <c r="C3" s="11" t="s">
        <v>47</v>
      </c>
      <c r="D3" s="11" t="s">
        <v>48</v>
      </c>
      <c r="E3" s="11" t="s">
        <v>49</v>
      </c>
      <c r="F3" s="11" t="s">
        <v>50</v>
      </c>
      <c r="G3" s="11" t="s">
        <v>51</v>
      </c>
      <c r="H3" s="11" t="s">
        <v>52</v>
      </c>
      <c r="I3" s="11" t="s">
        <v>53</v>
      </c>
      <c r="J3" s="11" t="s">
        <v>54</v>
      </c>
      <c r="K3" s="11" t="s">
        <v>55</v>
      </c>
      <c r="L3" s="11" t="s">
        <v>47</v>
      </c>
      <c r="M3" s="11" t="s">
        <v>9</v>
      </c>
      <c r="N3" s="12" t="str">
        <f t="shared" ref="N3:N66" ca="1" si="0">IFERROR(IF(A3="","",IF(OR(O3="Закрыт",O3="Проверен",O3="Отклонён"),"—",IF(N(M3)=0,"",IF(TODAY()&gt;M3,"Просрочен","В срок")))),"")</f>
        <v/>
      </c>
      <c r="O3" s="11" t="s">
        <v>56</v>
      </c>
      <c r="P3" s="11"/>
      <c r="Q3" s="11" t="s">
        <v>57</v>
      </c>
    </row>
    <row r="4" spans="1:17" ht="25.5" x14ac:dyDescent="0.25">
      <c r="A4" s="11" t="s">
        <v>58</v>
      </c>
      <c r="B4" s="11" t="s">
        <v>9</v>
      </c>
      <c r="C4" s="11" t="s">
        <v>47</v>
      </c>
      <c r="D4" s="11" t="s">
        <v>59</v>
      </c>
      <c r="E4" s="11" t="s">
        <v>60</v>
      </c>
      <c r="F4" s="11" t="s">
        <v>61</v>
      </c>
      <c r="G4" s="11" t="s">
        <v>51</v>
      </c>
      <c r="H4" s="11" t="s">
        <v>62</v>
      </c>
      <c r="I4" s="11" t="s">
        <v>63</v>
      </c>
      <c r="J4" s="11" t="s">
        <v>64</v>
      </c>
      <c r="K4" s="11" t="s">
        <v>65</v>
      </c>
      <c r="L4" s="11" t="s">
        <v>47</v>
      </c>
      <c r="M4" s="11" t="s">
        <v>9</v>
      </c>
      <c r="N4" s="12" t="str">
        <f t="shared" ca="1" si="0"/>
        <v/>
      </c>
      <c r="O4" s="11" t="s">
        <v>90</v>
      </c>
      <c r="P4" s="11"/>
      <c r="Q4" s="11" t="s">
        <v>67</v>
      </c>
    </row>
    <row r="5" spans="1:17" ht="25.5" x14ac:dyDescent="0.25">
      <c r="A5" s="11" t="s">
        <v>68</v>
      </c>
      <c r="B5" s="11" t="s">
        <v>9</v>
      </c>
      <c r="C5" s="11" t="s">
        <v>47</v>
      </c>
      <c r="D5" s="11" t="s">
        <v>69</v>
      </c>
      <c r="E5" s="11" t="s">
        <v>70</v>
      </c>
      <c r="F5" s="11" t="s">
        <v>71</v>
      </c>
      <c r="G5" s="11" t="s">
        <v>72</v>
      </c>
      <c r="H5" s="11" t="s">
        <v>52</v>
      </c>
      <c r="I5" s="11" t="s">
        <v>73</v>
      </c>
      <c r="J5" s="11" t="s">
        <v>74</v>
      </c>
      <c r="K5" s="11" t="s">
        <v>75</v>
      </c>
      <c r="L5" s="11" t="s">
        <v>47</v>
      </c>
      <c r="M5" s="11" t="s">
        <v>9</v>
      </c>
      <c r="N5" s="12" t="str">
        <f t="shared" ca="1" si="0"/>
        <v>—</v>
      </c>
      <c r="O5" s="11" t="s">
        <v>76</v>
      </c>
      <c r="P5" s="11" t="s">
        <v>9</v>
      </c>
      <c r="Q5" s="11"/>
    </row>
    <row r="6" spans="1:17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2" t="str">
        <f t="shared" ca="1" si="0"/>
        <v/>
      </c>
      <c r="O6" s="13"/>
      <c r="P6" s="13"/>
      <c r="Q6" s="13"/>
    </row>
    <row r="7" spans="1:17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2" t="str">
        <f t="shared" ca="1" si="0"/>
        <v/>
      </c>
      <c r="O7" s="13"/>
      <c r="P7" s="13"/>
      <c r="Q7" s="13"/>
    </row>
    <row r="8" spans="1:17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2" t="str">
        <f t="shared" ca="1" si="0"/>
        <v/>
      </c>
      <c r="O8" s="13"/>
      <c r="P8" s="13"/>
      <c r="Q8" s="13"/>
    </row>
    <row r="9" spans="1:17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2" t="str">
        <f t="shared" ca="1" si="0"/>
        <v/>
      </c>
      <c r="O9" s="13"/>
      <c r="P9" s="13"/>
      <c r="Q9" s="13"/>
    </row>
    <row r="10" spans="1:17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2" t="str">
        <f t="shared" ca="1" si="0"/>
        <v/>
      </c>
      <c r="O10" s="13"/>
      <c r="P10" s="13"/>
      <c r="Q10" s="13"/>
    </row>
    <row r="11" spans="1:17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2" t="str">
        <f t="shared" ca="1" si="0"/>
        <v/>
      </c>
      <c r="O11" s="13"/>
      <c r="P11" s="13"/>
      <c r="Q11" s="13"/>
    </row>
    <row r="12" spans="1:17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2" t="str">
        <f t="shared" ca="1" si="0"/>
        <v/>
      </c>
      <c r="O12" s="13"/>
      <c r="P12" s="13"/>
      <c r="Q12" s="13"/>
    </row>
    <row r="13" spans="1:17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2" t="str">
        <f t="shared" ca="1" si="0"/>
        <v/>
      </c>
      <c r="O13" s="13"/>
      <c r="P13" s="13"/>
      <c r="Q13" s="13"/>
    </row>
    <row r="14" spans="1:17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2" t="str">
        <f t="shared" ca="1" si="0"/>
        <v/>
      </c>
      <c r="O14" s="13"/>
      <c r="P14" s="13"/>
      <c r="Q14" s="13"/>
    </row>
    <row r="15" spans="1:17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2" t="str">
        <f t="shared" ca="1" si="0"/>
        <v/>
      </c>
      <c r="O15" s="13"/>
      <c r="P15" s="13"/>
      <c r="Q15" s="13"/>
    </row>
    <row r="16" spans="1:17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2" t="str">
        <f t="shared" ca="1" si="0"/>
        <v/>
      </c>
      <c r="O16" s="13"/>
      <c r="P16" s="13"/>
      <c r="Q16" s="13"/>
    </row>
    <row r="17" spans="1:17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2" t="str">
        <f t="shared" ca="1" si="0"/>
        <v/>
      </c>
      <c r="O17" s="13"/>
      <c r="P17" s="13"/>
      <c r="Q17" s="13"/>
    </row>
    <row r="18" spans="1:17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2" t="str">
        <f t="shared" ca="1" si="0"/>
        <v/>
      </c>
      <c r="O18" s="13"/>
      <c r="P18" s="13"/>
      <c r="Q18" s="13"/>
    </row>
    <row r="19" spans="1:17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2" t="str">
        <f t="shared" ca="1" si="0"/>
        <v/>
      </c>
      <c r="O19" s="13"/>
      <c r="P19" s="13"/>
      <c r="Q19" s="13"/>
    </row>
    <row r="20" spans="1:17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2" t="str">
        <f t="shared" ca="1" si="0"/>
        <v/>
      </c>
      <c r="O20" s="13"/>
      <c r="P20" s="13"/>
      <c r="Q20" s="13"/>
    </row>
    <row r="21" spans="1:17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2" t="str">
        <f t="shared" ca="1" si="0"/>
        <v/>
      </c>
      <c r="O21" s="13"/>
      <c r="P21" s="13"/>
      <c r="Q21" s="13"/>
    </row>
    <row r="22" spans="1:17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2" t="str">
        <f t="shared" ca="1" si="0"/>
        <v/>
      </c>
      <c r="O22" s="13"/>
      <c r="P22" s="13"/>
      <c r="Q22" s="13"/>
    </row>
    <row r="23" spans="1:17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2" t="str">
        <f t="shared" ca="1" si="0"/>
        <v/>
      </c>
      <c r="O23" s="13"/>
      <c r="P23" s="13"/>
      <c r="Q23" s="13"/>
    </row>
    <row r="24" spans="1:17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2" t="str">
        <f t="shared" ca="1" si="0"/>
        <v/>
      </c>
      <c r="O24" s="13"/>
      <c r="P24" s="13"/>
      <c r="Q24" s="13"/>
    </row>
    <row r="25" spans="1:17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2" t="str">
        <f t="shared" ca="1" si="0"/>
        <v/>
      </c>
      <c r="O25" s="13"/>
      <c r="P25" s="13"/>
      <c r="Q25" s="13"/>
    </row>
    <row r="26" spans="1:17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2" t="str">
        <f t="shared" ca="1" si="0"/>
        <v/>
      </c>
      <c r="O26" s="13"/>
      <c r="P26" s="13"/>
      <c r="Q26" s="13"/>
    </row>
    <row r="27" spans="1:17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2" t="str">
        <f t="shared" ca="1" si="0"/>
        <v/>
      </c>
      <c r="O27" s="13"/>
      <c r="P27" s="13"/>
      <c r="Q27" s="13"/>
    </row>
    <row r="28" spans="1:17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2" t="str">
        <f t="shared" ca="1" si="0"/>
        <v/>
      </c>
      <c r="O28" s="13"/>
      <c r="P28" s="13"/>
      <c r="Q28" s="13"/>
    </row>
    <row r="29" spans="1:17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2" t="str">
        <f t="shared" ca="1" si="0"/>
        <v/>
      </c>
      <c r="O29" s="13"/>
      <c r="P29" s="13"/>
      <c r="Q29" s="13"/>
    </row>
    <row r="30" spans="1:17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2" t="str">
        <f t="shared" ca="1" si="0"/>
        <v/>
      </c>
      <c r="O30" s="13"/>
      <c r="P30" s="13"/>
      <c r="Q30" s="13"/>
    </row>
    <row r="31" spans="1:17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2" t="str">
        <f t="shared" ca="1" si="0"/>
        <v/>
      </c>
      <c r="O31" s="13"/>
      <c r="P31" s="13"/>
      <c r="Q31" s="13"/>
    </row>
    <row r="32" spans="1:17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2" t="str">
        <f t="shared" ca="1" si="0"/>
        <v/>
      </c>
      <c r="O32" s="13"/>
      <c r="P32" s="13"/>
      <c r="Q32" s="13"/>
    </row>
    <row r="33" spans="1:17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2" t="str">
        <f t="shared" ca="1" si="0"/>
        <v/>
      </c>
      <c r="O33" s="13"/>
      <c r="P33" s="13"/>
      <c r="Q33" s="13"/>
    </row>
    <row r="34" spans="1:17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2" t="str">
        <f t="shared" ca="1" si="0"/>
        <v/>
      </c>
      <c r="O34" s="13"/>
      <c r="P34" s="13"/>
      <c r="Q34" s="13"/>
    </row>
    <row r="35" spans="1:17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2" t="str">
        <f t="shared" ca="1" si="0"/>
        <v/>
      </c>
      <c r="O35" s="13"/>
      <c r="P35" s="13"/>
      <c r="Q35" s="13"/>
    </row>
    <row r="36" spans="1:17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2" t="str">
        <f t="shared" ca="1" si="0"/>
        <v/>
      </c>
      <c r="O36" s="13"/>
      <c r="P36" s="13"/>
      <c r="Q36" s="13"/>
    </row>
    <row r="37" spans="1:17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2" t="str">
        <f t="shared" ca="1" si="0"/>
        <v/>
      </c>
      <c r="O37" s="13"/>
      <c r="P37" s="13"/>
      <c r="Q37" s="13"/>
    </row>
    <row r="38" spans="1:17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2" t="str">
        <f t="shared" ca="1" si="0"/>
        <v/>
      </c>
      <c r="O38" s="13"/>
      <c r="P38" s="13"/>
      <c r="Q38" s="13"/>
    </row>
    <row r="39" spans="1:17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2" t="str">
        <f t="shared" ca="1" si="0"/>
        <v/>
      </c>
      <c r="O39" s="13"/>
      <c r="P39" s="13"/>
      <c r="Q39" s="13"/>
    </row>
    <row r="40" spans="1:17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2" t="str">
        <f t="shared" ca="1" si="0"/>
        <v/>
      </c>
      <c r="O40" s="13"/>
      <c r="P40" s="13"/>
      <c r="Q40" s="13"/>
    </row>
    <row r="41" spans="1:17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2" t="str">
        <f t="shared" ca="1" si="0"/>
        <v/>
      </c>
      <c r="O41" s="13"/>
      <c r="P41" s="13"/>
      <c r="Q41" s="13"/>
    </row>
    <row r="42" spans="1:17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2" t="str">
        <f t="shared" ca="1" si="0"/>
        <v/>
      </c>
      <c r="O42" s="13"/>
      <c r="P42" s="13"/>
      <c r="Q42" s="13"/>
    </row>
    <row r="43" spans="1:17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2" t="str">
        <f t="shared" ca="1" si="0"/>
        <v/>
      </c>
      <c r="O43" s="13"/>
      <c r="P43" s="13"/>
      <c r="Q43" s="13"/>
    </row>
    <row r="44" spans="1:17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2" t="str">
        <f t="shared" ca="1" si="0"/>
        <v/>
      </c>
      <c r="O44" s="13"/>
      <c r="P44" s="13"/>
      <c r="Q44" s="13"/>
    </row>
    <row r="45" spans="1:17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2" t="str">
        <f t="shared" ca="1" si="0"/>
        <v/>
      </c>
      <c r="O45" s="13"/>
      <c r="P45" s="13"/>
      <c r="Q45" s="13"/>
    </row>
    <row r="46" spans="1:17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2" t="str">
        <f t="shared" ca="1" si="0"/>
        <v/>
      </c>
      <c r="O46" s="13"/>
      <c r="P46" s="13"/>
      <c r="Q46" s="13"/>
    </row>
    <row r="47" spans="1:17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2" t="str">
        <f t="shared" ca="1" si="0"/>
        <v/>
      </c>
      <c r="O47" s="13"/>
      <c r="P47" s="13"/>
      <c r="Q47" s="13"/>
    </row>
    <row r="48" spans="1:17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2" t="str">
        <f t="shared" ca="1" si="0"/>
        <v/>
      </c>
      <c r="O48" s="13"/>
      <c r="P48" s="13"/>
      <c r="Q48" s="13"/>
    </row>
    <row r="49" spans="1:17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2" t="str">
        <f t="shared" ca="1" si="0"/>
        <v/>
      </c>
      <c r="O49" s="13"/>
      <c r="P49" s="13"/>
      <c r="Q49" s="13"/>
    </row>
    <row r="50" spans="1:17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2" t="str">
        <f t="shared" ca="1" si="0"/>
        <v/>
      </c>
      <c r="O50" s="13"/>
      <c r="P50" s="13"/>
      <c r="Q50" s="13"/>
    </row>
    <row r="51" spans="1:17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2" t="str">
        <f t="shared" ca="1" si="0"/>
        <v/>
      </c>
      <c r="O51" s="13"/>
      <c r="P51" s="13"/>
      <c r="Q51" s="13"/>
    </row>
    <row r="52" spans="1:17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2" t="str">
        <f t="shared" ca="1" si="0"/>
        <v/>
      </c>
      <c r="O52" s="13"/>
      <c r="P52" s="13"/>
      <c r="Q52" s="13"/>
    </row>
    <row r="53" spans="1:17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2" t="str">
        <f t="shared" ca="1" si="0"/>
        <v/>
      </c>
      <c r="O53" s="13"/>
      <c r="P53" s="13"/>
      <c r="Q53" s="13"/>
    </row>
    <row r="54" spans="1:17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2" t="str">
        <f t="shared" ca="1" si="0"/>
        <v/>
      </c>
      <c r="O54" s="13"/>
      <c r="P54" s="13"/>
      <c r="Q54" s="13"/>
    </row>
    <row r="55" spans="1:17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2" t="str">
        <f t="shared" ca="1" si="0"/>
        <v/>
      </c>
      <c r="O55" s="13"/>
      <c r="P55" s="13"/>
      <c r="Q55" s="13"/>
    </row>
    <row r="56" spans="1:17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2" t="str">
        <f t="shared" ca="1" si="0"/>
        <v/>
      </c>
      <c r="O56" s="13"/>
      <c r="P56" s="13"/>
      <c r="Q56" s="13"/>
    </row>
    <row r="57" spans="1:17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2" t="str">
        <f t="shared" ca="1" si="0"/>
        <v/>
      </c>
      <c r="O57" s="13"/>
      <c r="P57" s="13"/>
      <c r="Q57" s="13"/>
    </row>
    <row r="58" spans="1:17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2" t="str">
        <f t="shared" ca="1" si="0"/>
        <v/>
      </c>
      <c r="O58" s="13"/>
      <c r="P58" s="13"/>
      <c r="Q58" s="13"/>
    </row>
    <row r="59" spans="1:17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2" t="str">
        <f t="shared" ca="1" si="0"/>
        <v/>
      </c>
      <c r="O59" s="13"/>
      <c r="P59" s="13"/>
      <c r="Q59" s="13"/>
    </row>
    <row r="60" spans="1:17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2" t="str">
        <f t="shared" ca="1" si="0"/>
        <v/>
      </c>
      <c r="O60" s="13"/>
      <c r="P60" s="13"/>
      <c r="Q60" s="13"/>
    </row>
    <row r="61" spans="1:17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2" t="str">
        <f t="shared" ca="1" si="0"/>
        <v/>
      </c>
      <c r="O61" s="13"/>
      <c r="P61" s="13"/>
      <c r="Q61" s="13"/>
    </row>
    <row r="62" spans="1:17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2" t="str">
        <f t="shared" ca="1" si="0"/>
        <v/>
      </c>
      <c r="O62" s="13"/>
      <c r="P62" s="13"/>
      <c r="Q62" s="13"/>
    </row>
    <row r="63" spans="1:17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2" t="str">
        <f t="shared" ca="1" si="0"/>
        <v/>
      </c>
      <c r="O63" s="13"/>
      <c r="P63" s="13"/>
      <c r="Q63" s="13"/>
    </row>
    <row r="64" spans="1:17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2" t="str">
        <f t="shared" ca="1" si="0"/>
        <v/>
      </c>
      <c r="O64" s="13"/>
      <c r="P64" s="13"/>
      <c r="Q64" s="13"/>
    </row>
    <row r="65" spans="1:17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2" t="str">
        <f t="shared" ca="1" si="0"/>
        <v/>
      </c>
      <c r="O65" s="13"/>
      <c r="P65" s="13"/>
      <c r="Q65" s="13"/>
    </row>
    <row r="66" spans="1:17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2" t="str">
        <f t="shared" ca="1" si="0"/>
        <v/>
      </c>
      <c r="O66" s="13"/>
      <c r="P66" s="13"/>
      <c r="Q66" s="13"/>
    </row>
    <row r="67" spans="1:17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2" t="str">
        <f t="shared" ref="N67:N130" ca="1" si="1">IFERROR(IF(A67="","",IF(OR(O67="Закрыт",O67="Проверен",O67="Отклонён"),"—",IF(N(M67)=0,"",IF(TODAY()&gt;M67,"Просрочен","В срок")))),"")</f>
        <v/>
      </c>
      <c r="O67" s="13"/>
      <c r="P67" s="13"/>
      <c r="Q67" s="13"/>
    </row>
    <row r="68" spans="1:17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2" t="str">
        <f t="shared" ca="1" si="1"/>
        <v/>
      </c>
      <c r="O68" s="13"/>
      <c r="P68" s="13"/>
      <c r="Q68" s="13"/>
    </row>
    <row r="69" spans="1:17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2" t="str">
        <f t="shared" ca="1" si="1"/>
        <v/>
      </c>
      <c r="O69" s="13"/>
      <c r="P69" s="13"/>
      <c r="Q69" s="13"/>
    </row>
    <row r="70" spans="1:17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2" t="str">
        <f t="shared" ca="1" si="1"/>
        <v/>
      </c>
      <c r="O70" s="13"/>
      <c r="P70" s="13"/>
      <c r="Q70" s="13"/>
    </row>
    <row r="71" spans="1:17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2" t="str">
        <f t="shared" ca="1" si="1"/>
        <v/>
      </c>
      <c r="O71" s="13"/>
      <c r="P71" s="13"/>
      <c r="Q71" s="13"/>
    </row>
    <row r="72" spans="1:17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2" t="str">
        <f t="shared" ca="1" si="1"/>
        <v/>
      </c>
      <c r="O72" s="13"/>
      <c r="P72" s="13"/>
      <c r="Q72" s="13"/>
    </row>
    <row r="73" spans="1:17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2" t="str">
        <f t="shared" ca="1" si="1"/>
        <v/>
      </c>
      <c r="O73" s="13"/>
      <c r="P73" s="13"/>
      <c r="Q73" s="13"/>
    </row>
    <row r="74" spans="1:17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2" t="str">
        <f t="shared" ca="1" si="1"/>
        <v/>
      </c>
      <c r="O74" s="13"/>
      <c r="P74" s="13"/>
      <c r="Q74" s="13"/>
    </row>
    <row r="75" spans="1:17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2" t="str">
        <f t="shared" ca="1" si="1"/>
        <v/>
      </c>
      <c r="O75" s="13"/>
      <c r="P75" s="13"/>
      <c r="Q75" s="13"/>
    </row>
    <row r="76" spans="1:17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2" t="str">
        <f t="shared" ca="1" si="1"/>
        <v/>
      </c>
      <c r="O76" s="13"/>
      <c r="P76" s="13"/>
      <c r="Q76" s="13"/>
    </row>
    <row r="77" spans="1:17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2" t="str">
        <f t="shared" ca="1" si="1"/>
        <v/>
      </c>
      <c r="O77" s="13"/>
      <c r="P77" s="13"/>
      <c r="Q77" s="13"/>
    </row>
    <row r="78" spans="1:17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2" t="str">
        <f t="shared" ca="1" si="1"/>
        <v/>
      </c>
      <c r="O78" s="13"/>
      <c r="P78" s="13"/>
      <c r="Q78" s="13"/>
    </row>
    <row r="79" spans="1:17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2" t="str">
        <f t="shared" ca="1" si="1"/>
        <v/>
      </c>
      <c r="O79" s="13"/>
      <c r="P79" s="13"/>
      <c r="Q79" s="13"/>
    </row>
    <row r="80" spans="1:17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2" t="str">
        <f t="shared" ca="1" si="1"/>
        <v/>
      </c>
      <c r="O80" s="13"/>
      <c r="P80" s="13"/>
      <c r="Q80" s="13"/>
    </row>
    <row r="81" spans="1:17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2" t="str">
        <f t="shared" ca="1" si="1"/>
        <v/>
      </c>
      <c r="O81" s="13"/>
      <c r="P81" s="13"/>
      <c r="Q81" s="13"/>
    </row>
    <row r="82" spans="1:17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2" t="str">
        <f t="shared" ca="1" si="1"/>
        <v/>
      </c>
      <c r="O82" s="13"/>
      <c r="P82" s="13"/>
      <c r="Q82" s="13"/>
    </row>
    <row r="83" spans="1:17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2" t="str">
        <f t="shared" ca="1" si="1"/>
        <v/>
      </c>
      <c r="O83" s="13"/>
      <c r="P83" s="13"/>
      <c r="Q83" s="13"/>
    </row>
    <row r="84" spans="1:17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2" t="str">
        <f t="shared" ca="1" si="1"/>
        <v/>
      </c>
      <c r="O84" s="13"/>
      <c r="P84" s="13"/>
      <c r="Q84" s="13"/>
    </row>
    <row r="85" spans="1:17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2" t="str">
        <f t="shared" ca="1" si="1"/>
        <v/>
      </c>
      <c r="O85" s="13"/>
      <c r="P85" s="13"/>
      <c r="Q85" s="13"/>
    </row>
    <row r="86" spans="1:17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2" t="str">
        <f t="shared" ca="1" si="1"/>
        <v/>
      </c>
      <c r="O86" s="13"/>
      <c r="P86" s="13"/>
      <c r="Q86" s="13"/>
    </row>
    <row r="87" spans="1:17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2" t="str">
        <f t="shared" ca="1" si="1"/>
        <v/>
      </c>
      <c r="O87" s="13"/>
      <c r="P87" s="13"/>
      <c r="Q87" s="13"/>
    </row>
    <row r="88" spans="1:17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2" t="str">
        <f t="shared" ca="1" si="1"/>
        <v/>
      </c>
      <c r="O88" s="13"/>
      <c r="P88" s="13"/>
      <c r="Q88" s="13"/>
    </row>
    <row r="89" spans="1:17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2" t="str">
        <f t="shared" ca="1" si="1"/>
        <v/>
      </c>
      <c r="O89" s="13"/>
      <c r="P89" s="13"/>
      <c r="Q89" s="13"/>
    </row>
    <row r="90" spans="1:17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2" t="str">
        <f t="shared" ca="1" si="1"/>
        <v/>
      </c>
      <c r="O90" s="13"/>
      <c r="P90" s="13"/>
      <c r="Q90" s="13"/>
    </row>
    <row r="91" spans="1:17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2" t="str">
        <f t="shared" ca="1" si="1"/>
        <v/>
      </c>
      <c r="O91" s="13"/>
      <c r="P91" s="13"/>
      <c r="Q91" s="13"/>
    </row>
    <row r="92" spans="1:17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2" t="str">
        <f t="shared" ca="1" si="1"/>
        <v/>
      </c>
      <c r="O92" s="13"/>
      <c r="P92" s="13"/>
      <c r="Q92" s="13"/>
    </row>
    <row r="93" spans="1:17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2" t="str">
        <f t="shared" ca="1" si="1"/>
        <v/>
      </c>
      <c r="O93" s="13"/>
      <c r="P93" s="13"/>
      <c r="Q93" s="13"/>
    </row>
    <row r="94" spans="1:17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2" t="str">
        <f t="shared" ca="1" si="1"/>
        <v/>
      </c>
      <c r="O94" s="13"/>
      <c r="P94" s="13"/>
      <c r="Q94" s="13"/>
    </row>
    <row r="95" spans="1:17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2" t="str">
        <f t="shared" ca="1" si="1"/>
        <v/>
      </c>
      <c r="O95" s="13"/>
      <c r="P95" s="13"/>
      <c r="Q95" s="13"/>
    </row>
    <row r="96" spans="1:17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2" t="str">
        <f t="shared" ca="1" si="1"/>
        <v/>
      </c>
      <c r="O96" s="13"/>
      <c r="P96" s="13"/>
      <c r="Q96" s="13"/>
    </row>
    <row r="97" spans="1:17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2" t="str">
        <f t="shared" ca="1" si="1"/>
        <v/>
      </c>
      <c r="O97" s="13"/>
      <c r="P97" s="13"/>
      <c r="Q97" s="13"/>
    </row>
    <row r="98" spans="1:1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2" t="str">
        <f t="shared" ca="1" si="1"/>
        <v/>
      </c>
      <c r="O98" s="13"/>
      <c r="P98" s="13"/>
      <c r="Q98" s="13"/>
    </row>
    <row r="99" spans="1:1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2" t="str">
        <f t="shared" ca="1" si="1"/>
        <v/>
      </c>
      <c r="O99" s="13"/>
      <c r="P99" s="13"/>
      <c r="Q99" s="13"/>
    </row>
    <row r="100" spans="1:1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2" t="str">
        <f t="shared" ca="1" si="1"/>
        <v/>
      </c>
      <c r="O100" s="13"/>
      <c r="P100" s="13"/>
      <c r="Q100" s="13"/>
    </row>
    <row r="101" spans="1:1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2" t="str">
        <f t="shared" ca="1" si="1"/>
        <v/>
      </c>
      <c r="O101" s="13"/>
      <c r="P101" s="13"/>
      <c r="Q101" s="13"/>
    </row>
    <row r="102" spans="1:1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2" t="str">
        <f t="shared" ca="1" si="1"/>
        <v/>
      </c>
      <c r="O102" s="13"/>
      <c r="P102" s="13"/>
      <c r="Q102" s="13"/>
    </row>
    <row r="103" spans="1:1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2" t="str">
        <f t="shared" ca="1" si="1"/>
        <v/>
      </c>
      <c r="O103" s="13"/>
      <c r="P103" s="13"/>
      <c r="Q103" s="13"/>
    </row>
    <row r="104" spans="1:1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2" t="str">
        <f t="shared" ca="1" si="1"/>
        <v/>
      </c>
      <c r="O104" s="13"/>
      <c r="P104" s="13"/>
      <c r="Q104" s="13"/>
    </row>
    <row r="105" spans="1:1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2" t="str">
        <f t="shared" ca="1" si="1"/>
        <v/>
      </c>
      <c r="O105" s="13"/>
      <c r="P105" s="13"/>
      <c r="Q105" s="13"/>
    </row>
    <row r="106" spans="1:1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2" t="str">
        <f t="shared" ca="1" si="1"/>
        <v/>
      </c>
      <c r="O106" s="13"/>
      <c r="P106" s="13"/>
      <c r="Q106" s="13"/>
    </row>
    <row r="107" spans="1:1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2" t="str">
        <f t="shared" ca="1" si="1"/>
        <v/>
      </c>
      <c r="O107" s="13"/>
      <c r="P107" s="13"/>
      <c r="Q107" s="13"/>
    </row>
    <row r="108" spans="1:1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2" t="str">
        <f t="shared" ca="1" si="1"/>
        <v/>
      </c>
      <c r="O108" s="13"/>
      <c r="P108" s="13"/>
      <c r="Q108" s="13"/>
    </row>
    <row r="109" spans="1:1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2" t="str">
        <f t="shared" ca="1" si="1"/>
        <v/>
      </c>
      <c r="O109" s="13"/>
      <c r="P109" s="13"/>
      <c r="Q109" s="13"/>
    </row>
    <row r="110" spans="1:1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2" t="str">
        <f t="shared" ca="1" si="1"/>
        <v/>
      </c>
      <c r="O110" s="13"/>
      <c r="P110" s="13"/>
      <c r="Q110" s="13"/>
    </row>
    <row r="111" spans="1:1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2" t="str">
        <f t="shared" ca="1" si="1"/>
        <v/>
      </c>
      <c r="O111" s="13"/>
      <c r="P111" s="13"/>
      <c r="Q111" s="13"/>
    </row>
    <row r="112" spans="1:1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2" t="str">
        <f t="shared" ca="1" si="1"/>
        <v/>
      </c>
      <c r="O112" s="13"/>
      <c r="P112" s="13"/>
      <c r="Q112" s="13"/>
    </row>
    <row r="113" spans="1:1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2" t="str">
        <f t="shared" ca="1" si="1"/>
        <v/>
      </c>
      <c r="O113" s="13"/>
      <c r="P113" s="13"/>
      <c r="Q113" s="13"/>
    </row>
    <row r="114" spans="1:1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2" t="str">
        <f t="shared" ca="1" si="1"/>
        <v/>
      </c>
      <c r="O114" s="13"/>
      <c r="P114" s="13"/>
      <c r="Q114" s="13"/>
    </row>
    <row r="115" spans="1:1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2" t="str">
        <f t="shared" ca="1" si="1"/>
        <v/>
      </c>
      <c r="O115" s="13"/>
      <c r="P115" s="13"/>
      <c r="Q115" s="13"/>
    </row>
    <row r="116" spans="1:1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2" t="str">
        <f t="shared" ca="1" si="1"/>
        <v/>
      </c>
      <c r="O116" s="13"/>
      <c r="P116" s="13"/>
      <c r="Q116" s="13"/>
    </row>
    <row r="117" spans="1:1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2" t="str">
        <f t="shared" ca="1" si="1"/>
        <v/>
      </c>
      <c r="O117" s="13"/>
      <c r="P117" s="13"/>
      <c r="Q117" s="13"/>
    </row>
    <row r="118" spans="1:1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2" t="str">
        <f t="shared" ca="1" si="1"/>
        <v/>
      </c>
      <c r="O118" s="13"/>
      <c r="P118" s="13"/>
      <c r="Q118" s="13"/>
    </row>
    <row r="119" spans="1:1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2" t="str">
        <f t="shared" ca="1" si="1"/>
        <v/>
      </c>
      <c r="O119" s="13"/>
      <c r="P119" s="13"/>
      <c r="Q119" s="13"/>
    </row>
    <row r="120" spans="1:1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2" t="str">
        <f t="shared" ca="1" si="1"/>
        <v/>
      </c>
      <c r="O120" s="13"/>
      <c r="P120" s="13"/>
      <c r="Q120" s="13"/>
    </row>
    <row r="121" spans="1:1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2" t="str">
        <f t="shared" ca="1" si="1"/>
        <v/>
      </c>
      <c r="O121" s="13"/>
      <c r="P121" s="13"/>
      <c r="Q121" s="13"/>
    </row>
    <row r="122" spans="1:1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2" t="str">
        <f t="shared" ca="1" si="1"/>
        <v/>
      </c>
      <c r="O122" s="13"/>
      <c r="P122" s="13"/>
      <c r="Q122" s="13"/>
    </row>
    <row r="123" spans="1:1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2" t="str">
        <f t="shared" ca="1" si="1"/>
        <v/>
      </c>
      <c r="O123" s="13"/>
      <c r="P123" s="13"/>
      <c r="Q123" s="13"/>
    </row>
    <row r="124" spans="1:1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2" t="str">
        <f t="shared" ca="1" si="1"/>
        <v/>
      </c>
      <c r="O124" s="13"/>
      <c r="P124" s="13"/>
      <c r="Q124" s="13"/>
    </row>
    <row r="125" spans="1:1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2" t="str">
        <f t="shared" ca="1" si="1"/>
        <v/>
      </c>
      <c r="O125" s="13"/>
      <c r="P125" s="13"/>
      <c r="Q125" s="13"/>
    </row>
    <row r="126" spans="1:1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2" t="str">
        <f t="shared" ca="1" si="1"/>
        <v/>
      </c>
      <c r="O126" s="13"/>
      <c r="P126" s="13"/>
      <c r="Q126" s="13"/>
    </row>
    <row r="127" spans="1:1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2" t="str">
        <f t="shared" ca="1" si="1"/>
        <v/>
      </c>
      <c r="O127" s="13"/>
      <c r="P127" s="13"/>
      <c r="Q127" s="13"/>
    </row>
    <row r="128" spans="1:1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2" t="str">
        <f t="shared" ca="1" si="1"/>
        <v/>
      </c>
      <c r="O128" s="13"/>
      <c r="P128" s="13"/>
      <c r="Q128" s="13"/>
    </row>
    <row r="129" spans="1:1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2" t="str">
        <f t="shared" ca="1" si="1"/>
        <v/>
      </c>
      <c r="O129" s="13"/>
      <c r="P129" s="13"/>
      <c r="Q129" s="13"/>
    </row>
    <row r="130" spans="1:1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2" t="str">
        <f t="shared" ca="1" si="1"/>
        <v/>
      </c>
      <c r="O130" s="13"/>
      <c r="P130" s="13"/>
      <c r="Q130" s="13"/>
    </row>
    <row r="131" spans="1:1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2" t="str">
        <f t="shared" ref="N131:N194" ca="1" si="2">IFERROR(IF(A131="","",IF(OR(O131="Закрыт",O131="Проверен",O131="Отклонён"),"—",IF(N(M131)=0,"",IF(TODAY()&gt;M131,"Просрочен","В срок")))),"")</f>
        <v/>
      </c>
      <c r="O131" s="13"/>
      <c r="P131" s="13"/>
      <c r="Q131" s="13"/>
    </row>
    <row r="132" spans="1:1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2" t="str">
        <f t="shared" ca="1" si="2"/>
        <v/>
      </c>
      <c r="O132" s="13"/>
      <c r="P132" s="13"/>
      <c r="Q132" s="13"/>
    </row>
    <row r="133" spans="1:1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2" t="str">
        <f t="shared" ca="1" si="2"/>
        <v/>
      </c>
      <c r="O133" s="13"/>
      <c r="P133" s="13"/>
      <c r="Q133" s="13"/>
    </row>
    <row r="134" spans="1:1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2" t="str">
        <f t="shared" ca="1" si="2"/>
        <v/>
      </c>
      <c r="O134" s="13"/>
      <c r="P134" s="13"/>
      <c r="Q134" s="13"/>
    </row>
    <row r="135" spans="1:1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2" t="str">
        <f t="shared" ca="1" si="2"/>
        <v/>
      </c>
      <c r="O135" s="13"/>
      <c r="P135" s="13"/>
      <c r="Q135" s="13"/>
    </row>
    <row r="136" spans="1:1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2" t="str">
        <f t="shared" ca="1" si="2"/>
        <v/>
      </c>
      <c r="O136" s="13"/>
      <c r="P136" s="13"/>
      <c r="Q136" s="13"/>
    </row>
    <row r="137" spans="1:1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2" t="str">
        <f t="shared" ca="1" si="2"/>
        <v/>
      </c>
      <c r="O137" s="13"/>
      <c r="P137" s="13"/>
      <c r="Q137" s="13"/>
    </row>
    <row r="138" spans="1:1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2" t="str">
        <f t="shared" ca="1" si="2"/>
        <v/>
      </c>
      <c r="O138" s="13"/>
      <c r="P138" s="13"/>
      <c r="Q138" s="13"/>
    </row>
    <row r="139" spans="1:1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2" t="str">
        <f t="shared" ca="1" si="2"/>
        <v/>
      </c>
      <c r="O139" s="13"/>
      <c r="P139" s="13"/>
      <c r="Q139" s="13"/>
    </row>
    <row r="140" spans="1:1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2" t="str">
        <f t="shared" ca="1" si="2"/>
        <v/>
      </c>
      <c r="O140" s="13"/>
      <c r="P140" s="13"/>
      <c r="Q140" s="13"/>
    </row>
    <row r="141" spans="1:1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2" t="str">
        <f t="shared" ca="1" si="2"/>
        <v/>
      </c>
      <c r="O141" s="13"/>
      <c r="P141" s="13"/>
      <c r="Q141" s="13"/>
    </row>
    <row r="142" spans="1:1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2" t="str">
        <f t="shared" ca="1" si="2"/>
        <v/>
      </c>
      <c r="O142" s="13"/>
      <c r="P142" s="13"/>
      <c r="Q142" s="13"/>
    </row>
    <row r="143" spans="1:1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2" t="str">
        <f t="shared" ca="1" si="2"/>
        <v/>
      </c>
      <c r="O143" s="13"/>
      <c r="P143" s="13"/>
      <c r="Q143" s="13"/>
    </row>
    <row r="144" spans="1:1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2" t="str">
        <f t="shared" ca="1" si="2"/>
        <v/>
      </c>
      <c r="O144" s="13"/>
      <c r="P144" s="13"/>
      <c r="Q144" s="13"/>
    </row>
    <row r="145" spans="1:1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2" t="str">
        <f t="shared" ca="1" si="2"/>
        <v/>
      </c>
      <c r="O145" s="13"/>
      <c r="P145" s="13"/>
      <c r="Q145" s="13"/>
    </row>
    <row r="146" spans="1:1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2" t="str">
        <f t="shared" ca="1" si="2"/>
        <v/>
      </c>
      <c r="O146" s="13"/>
      <c r="P146" s="13"/>
      <c r="Q146" s="13"/>
    </row>
    <row r="147" spans="1:1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2" t="str">
        <f t="shared" ca="1" si="2"/>
        <v/>
      </c>
      <c r="O147" s="13"/>
      <c r="P147" s="13"/>
      <c r="Q147" s="13"/>
    </row>
    <row r="148" spans="1:1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2" t="str">
        <f t="shared" ca="1" si="2"/>
        <v/>
      </c>
      <c r="O148" s="13"/>
      <c r="P148" s="13"/>
      <c r="Q148" s="13"/>
    </row>
    <row r="149" spans="1:1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2" t="str">
        <f t="shared" ca="1" si="2"/>
        <v/>
      </c>
      <c r="O149" s="13"/>
      <c r="P149" s="13"/>
      <c r="Q149" s="13"/>
    </row>
    <row r="150" spans="1:1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2" t="str">
        <f t="shared" ca="1" si="2"/>
        <v/>
      </c>
      <c r="O150" s="13"/>
      <c r="P150" s="13"/>
      <c r="Q150" s="13"/>
    </row>
    <row r="151" spans="1:1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2" t="str">
        <f t="shared" ca="1" si="2"/>
        <v/>
      </c>
      <c r="O151" s="13"/>
      <c r="P151" s="13"/>
      <c r="Q151" s="13"/>
    </row>
    <row r="152" spans="1:1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2" t="str">
        <f t="shared" ca="1" si="2"/>
        <v/>
      </c>
      <c r="O152" s="13"/>
      <c r="P152" s="13"/>
      <c r="Q152" s="13"/>
    </row>
    <row r="153" spans="1:1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2" t="str">
        <f t="shared" ca="1" si="2"/>
        <v/>
      </c>
      <c r="O153" s="13"/>
      <c r="P153" s="13"/>
      <c r="Q153" s="13"/>
    </row>
    <row r="154" spans="1:1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2" t="str">
        <f t="shared" ca="1" si="2"/>
        <v/>
      </c>
      <c r="O154" s="13"/>
      <c r="P154" s="13"/>
      <c r="Q154" s="13"/>
    </row>
    <row r="155" spans="1:1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2" t="str">
        <f t="shared" ca="1" si="2"/>
        <v/>
      </c>
      <c r="O155" s="13"/>
      <c r="P155" s="13"/>
      <c r="Q155" s="13"/>
    </row>
    <row r="156" spans="1:1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2" t="str">
        <f t="shared" ca="1" si="2"/>
        <v/>
      </c>
      <c r="O156" s="13"/>
      <c r="P156" s="13"/>
      <c r="Q156" s="13"/>
    </row>
    <row r="157" spans="1:1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2" t="str">
        <f t="shared" ca="1" si="2"/>
        <v/>
      </c>
      <c r="O157" s="13"/>
      <c r="P157" s="13"/>
      <c r="Q157" s="13"/>
    </row>
    <row r="158" spans="1:1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2" t="str">
        <f t="shared" ca="1" si="2"/>
        <v/>
      </c>
      <c r="O158" s="13"/>
      <c r="P158" s="13"/>
      <c r="Q158" s="13"/>
    </row>
    <row r="159" spans="1:1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2" t="str">
        <f t="shared" ca="1" si="2"/>
        <v/>
      </c>
      <c r="O159" s="13"/>
      <c r="P159" s="13"/>
      <c r="Q159" s="13"/>
    </row>
    <row r="160" spans="1:1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2" t="str">
        <f t="shared" ca="1" si="2"/>
        <v/>
      </c>
      <c r="O160" s="13"/>
      <c r="P160" s="13"/>
      <c r="Q160" s="13"/>
    </row>
    <row r="161" spans="1:1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2" t="str">
        <f t="shared" ca="1" si="2"/>
        <v/>
      </c>
      <c r="O161" s="13"/>
      <c r="P161" s="13"/>
      <c r="Q161" s="13"/>
    </row>
    <row r="162" spans="1:1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2" t="str">
        <f t="shared" ca="1" si="2"/>
        <v/>
      </c>
      <c r="O162" s="13"/>
      <c r="P162" s="13"/>
      <c r="Q162" s="13"/>
    </row>
    <row r="163" spans="1:1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2" t="str">
        <f t="shared" ca="1" si="2"/>
        <v/>
      </c>
      <c r="O163" s="13"/>
      <c r="P163" s="13"/>
      <c r="Q163" s="13"/>
    </row>
    <row r="164" spans="1:1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2" t="str">
        <f t="shared" ca="1" si="2"/>
        <v/>
      </c>
      <c r="O164" s="13"/>
      <c r="P164" s="13"/>
      <c r="Q164" s="13"/>
    </row>
    <row r="165" spans="1:1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2" t="str">
        <f t="shared" ca="1" si="2"/>
        <v/>
      </c>
      <c r="O165" s="13"/>
      <c r="P165" s="13"/>
      <c r="Q165" s="13"/>
    </row>
    <row r="166" spans="1:1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2" t="str">
        <f t="shared" ca="1" si="2"/>
        <v/>
      </c>
      <c r="O166" s="13"/>
      <c r="P166" s="13"/>
      <c r="Q166" s="13"/>
    </row>
    <row r="167" spans="1:1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2" t="str">
        <f t="shared" ca="1" si="2"/>
        <v/>
      </c>
      <c r="O167" s="13"/>
      <c r="P167" s="13"/>
      <c r="Q167" s="13"/>
    </row>
    <row r="168" spans="1:1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2" t="str">
        <f t="shared" ca="1" si="2"/>
        <v/>
      </c>
      <c r="O168" s="13"/>
      <c r="P168" s="13"/>
      <c r="Q168" s="13"/>
    </row>
    <row r="169" spans="1:1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2" t="str">
        <f t="shared" ca="1" si="2"/>
        <v/>
      </c>
      <c r="O169" s="13"/>
      <c r="P169" s="13"/>
      <c r="Q169" s="13"/>
    </row>
    <row r="170" spans="1:1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2" t="str">
        <f t="shared" ca="1" si="2"/>
        <v/>
      </c>
      <c r="O170" s="13"/>
      <c r="P170" s="13"/>
      <c r="Q170" s="13"/>
    </row>
    <row r="171" spans="1:1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2" t="str">
        <f t="shared" ca="1" si="2"/>
        <v/>
      </c>
      <c r="O171" s="13"/>
      <c r="P171" s="13"/>
      <c r="Q171" s="13"/>
    </row>
    <row r="172" spans="1:1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2" t="str">
        <f t="shared" ca="1" si="2"/>
        <v/>
      </c>
      <c r="O172" s="13"/>
      <c r="P172" s="13"/>
      <c r="Q172" s="13"/>
    </row>
    <row r="173" spans="1:1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2" t="str">
        <f t="shared" ca="1" si="2"/>
        <v/>
      </c>
      <c r="O173" s="13"/>
      <c r="P173" s="13"/>
      <c r="Q173" s="13"/>
    </row>
    <row r="174" spans="1:1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2" t="str">
        <f t="shared" ca="1" si="2"/>
        <v/>
      </c>
      <c r="O174" s="13"/>
      <c r="P174" s="13"/>
      <c r="Q174" s="13"/>
    </row>
    <row r="175" spans="1:1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2" t="str">
        <f t="shared" ca="1" si="2"/>
        <v/>
      </c>
      <c r="O175" s="13"/>
      <c r="P175" s="13"/>
      <c r="Q175" s="13"/>
    </row>
    <row r="176" spans="1:1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2" t="str">
        <f t="shared" ca="1" si="2"/>
        <v/>
      </c>
      <c r="O176" s="13"/>
      <c r="P176" s="13"/>
      <c r="Q176" s="13"/>
    </row>
    <row r="177" spans="1:1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2" t="str">
        <f t="shared" ca="1" si="2"/>
        <v/>
      </c>
      <c r="O177" s="13"/>
      <c r="P177" s="13"/>
      <c r="Q177" s="13"/>
    </row>
    <row r="178" spans="1:1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2" t="str">
        <f t="shared" ca="1" si="2"/>
        <v/>
      </c>
      <c r="O178" s="13"/>
      <c r="P178" s="13"/>
      <c r="Q178" s="13"/>
    </row>
    <row r="179" spans="1:1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2" t="str">
        <f t="shared" ca="1" si="2"/>
        <v/>
      </c>
      <c r="O179" s="13"/>
      <c r="P179" s="13"/>
      <c r="Q179" s="13"/>
    </row>
    <row r="180" spans="1:1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2" t="str">
        <f t="shared" ca="1" si="2"/>
        <v/>
      </c>
      <c r="O180" s="13"/>
      <c r="P180" s="13"/>
      <c r="Q180" s="13"/>
    </row>
    <row r="181" spans="1:1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2" t="str">
        <f t="shared" ca="1" si="2"/>
        <v/>
      </c>
      <c r="O181" s="13"/>
      <c r="P181" s="13"/>
      <c r="Q181" s="13"/>
    </row>
    <row r="182" spans="1:1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2" t="str">
        <f t="shared" ca="1" si="2"/>
        <v/>
      </c>
      <c r="O182" s="13"/>
      <c r="P182" s="13"/>
      <c r="Q182" s="13"/>
    </row>
    <row r="183" spans="1:1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2" t="str">
        <f t="shared" ca="1" si="2"/>
        <v/>
      </c>
      <c r="O183" s="13"/>
      <c r="P183" s="13"/>
      <c r="Q183" s="13"/>
    </row>
    <row r="184" spans="1:1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2" t="str">
        <f t="shared" ca="1" si="2"/>
        <v/>
      </c>
      <c r="O184" s="13"/>
      <c r="P184" s="13"/>
      <c r="Q184" s="13"/>
    </row>
    <row r="185" spans="1:1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2" t="str">
        <f t="shared" ca="1" si="2"/>
        <v/>
      </c>
      <c r="O185" s="13"/>
      <c r="P185" s="13"/>
      <c r="Q185" s="13"/>
    </row>
    <row r="186" spans="1:1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2" t="str">
        <f t="shared" ca="1" si="2"/>
        <v/>
      </c>
      <c r="O186" s="13"/>
      <c r="P186" s="13"/>
      <c r="Q186" s="13"/>
    </row>
    <row r="187" spans="1:1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2" t="str">
        <f t="shared" ca="1" si="2"/>
        <v/>
      </c>
      <c r="O187" s="13"/>
      <c r="P187" s="13"/>
      <c r="Q187" s="13"/>
    </row>
    <row r="188" spans="1:1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2" t="str">
        <f t="shared" ca="1" si="2"/>
        <v/>
      </c>
      <c r="O188" s="13"/>
      <c r="P188" s="13"/>
      <c r="Q188" s="13"/>
    </row>
    <row r="189" spans="1:1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2" t="str">
        <f t="shared" ca="1" si="2"/>
        <v/>
      </c>
      <c r="O189" s="13"/>
      <c r="P189" s="13"/>
      <c r="Q189" s="13"/>
    </row>
    <row r="190" spans="1:1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2" t="str">
        <f t="shared" ca="1" si="2"/>
        <v/>
      </c>
      <c r="O190" s="13"/>
      <c r="P190" s="13"/>
      <c r="Q190" s="13"/>
    </row>
    <row r="191" spans="1:1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2" t="str">
        <f t="shared" ca="1" si="2"/>
        <v/>
      </c>
      <c r="O191" s="13"/>
      <c r="P191" s="13"/>
      <c r="Q191" s="13"/>
    </row>
    <row r="192" spans="1:1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2" t="str">
        <f t="shared" ca="1" si="2"/>
        <v/>
      </c>
      <c r="O192" s="13"/>
      <c r="P192" s="13"/>
      <c r="Q192" s="13"/>
    </row>
    <row r="193" spans="1:1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2" t="str">
        <f t="shared" ca="1" si="2"/>
        <v/>
      </c>
      <c r="O193" s="13"/>
      <c r="P193" s="13"/>
      <c r="Q193" s="13"/>
    </row>
    <row r="194" spans="1:1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2" t="str">
        <f t="shared" ca="1" si="2"/>
        <v/>
      </c>
      <c r="O194" s="13"/>
      <c r="P194" s="13"/>
      <c r="Q194" s="13"/>
    </row>
    <row r="195" spans="1:1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2" t="str">
        <f t="shared" ref="N195:N258" ca="1" si="3">IFERROR(IF(A195="","",IF(OR(O195="Закрыт",O195="Проверен",O195="Отклонён"),"—",IF(N(M195)=0,"",IF(TODAY()&gt;M195,"Просрочен","В срок")))),"")</f>
        <v/>
      </c>
      <c r="O195" s="13"/>
      <c r="P195" s="13"/>
      <c r="Q195" s="13"/>
    </row>
    <row r="196" spans="1:1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2" t="str">
        <f t="shared" ca="1" si="3"/>
        <v/>
      </c>
      <c r="O196" s="13"/>
      <c r="P196" s="13"/>
      <c r="Q196" s="13"/>
    </row>
    <row r="197" spans="1:1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2" t="str">
        <f t="shared" ca="1" si="3"/>
        <v/>
      </c>
      <c r="O197" s="13"/>
      <c r="P197" s="13"/>
      <c r="Q197" s="13"/>
    </row>
    <row r="198" spans="1:1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2" t="str">
        <f t="shared" ca="1" si="3"/>
        <v/>
      </c>
      <c r="O198" s="13"/>
      <c r="P198" s="13"/>
      <c r="Q198" s="13"/>
    </row>
    <row r="199" spans="1:1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2" t="str">
        <f t="shared" ca="1" si="3"/>
        <v/>
      </c>
      <c r="O199" s="13"/>
      <c r="P199" s="13"/>
      <c r="Q199" s="13"/>
    </row>
    <row r="200" spans="1:1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2" t="str">
        <f t="shared" ca="1" si="3"/>
        <v/>
      </c>
      <c r="O200" s="13"/>
      <c r="P200" s="13"/>
      <c r="Q200" s="13"/>
    </row>
    <row r="201" spans="1:1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2" t="str">
        <f t="shared" ca="1" si="3"/>
        <v/>
      </c>
      <c r="O201" s="13"/>
      <c r="P201" s="13"/>
      <c r="Q201" s="13"/>
    </row>
    <row r="202" spans="1:1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2" t="str">
        <f t="shared" ca="1" si="3"/>
        <v/>
      </c>
      <c r="O202" s="13"/>
      <c r="P202" s="13"/>
      <c r="Q202" s="13"/>
    </row>
    <row r="203" spans="1:1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2" t="str">
        <f t="shared" ca="1" si="3"/>
        <v/>
      </c>
      <c r="O203" s="13"/>
      <c r="P203" s="13"/>
      <c r="Q203" s="13"/>
    </row>
    <row r="204" spans="1:1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2" t="str">
        <f t="shared" ca="1" si="3"/>
        <v/>
      </c>
      <c r="O204" s="13"/>
      <c r="P204" s="13"/>
      <c r="Q204" s="13"/>
    </row>
    <row r="205" spans="1:1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2" t="str">
        <f t="shared" ca="1" si="3"/>
        <v/>
      </c>
      <c r="O205" s="13"/>
      <c r="P205" s="13"/>
      <c r="Q205" s="13"/>
    </row>
    <row r="206" spans="1:1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2" t="str">
        <f t="shared" ca="1" si="3"/>
        <v/>
      </c>
      <c r="O206" s="13"/>
      <c r="P206" s="13"/>
      <c r="Q206" s="13"/>
    </row>
    <row r="207" spans="1:1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2" t="str">
        <f t="shared" ca="1" si="3"/>
        <v/>
      </c>
      <c r="O207" s="13"/>
      <c r="P207" s="13"/>
      <c r="Q207" s="13"/>
    </row>
    <row r="208" spans="1:1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2" t="str">
        <f t="shared" ca="1" si="3"/>
        <v/>
      </c>
      <c r="O208" s="13"/>
      <c r="P208" s="13"/>
      <c r="Q208" s="13"/>
    </row>
    <row r="209" spans="1:1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2" t="str">
        <f t="shared" ca="1" si="3"/>
        <v/>
      </c>
      <c r="O209" s="13"/>
      <c r="P209" s="13"/>
      <c r="Q209" s="13"/>
    </row>
    <row r="210" spans="1:1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2" t="str">
        <f t="shared" ca="1" si="3"/>
        <v/>
      </c>
      <c r="O210" s="13"/>
      <c r="P210" s="13"/>
      <c r="Q210" s="13"/>
    </row>
    <row r="211" spans="1:1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2" t="str">
        <f t="shared" ca="1" si="3"/>
        <v/>
      </c>
      <c r="O211" s="13"/>
      <c r="P211" s="13"/>
      <c r="Q211" s="13"/>
    </row>
    <row r="212" spans="1:1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2" t="str">
        <f t="shared" ca="1" si="3"/>
        <v/>
      </c>
      <c r="O212" s="13"/>
      <c r="P212" s="13"/>
      <c r="Q212" s="13"/>
    </row>
    <row r="213" spans="1:1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2" t="str">
        <f t="shared" ca="1" si="3"/>
        <v/>
      </c>
      <c r="O213" s="13"/>
      <c r="P213" s="13"/>
      <c r="Q213" s="13"/>
    </row>
    <row r="214" spans="1:1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2" t="str">
        <f t="shared" ca="1" si="3"/>
        <v/>
      </c>
      <c r="O214" s="13"/>
      <c r="P214" s="13"/>
      <c r="Q214" s="13"/>
    </row>
    <row r="215" spans="1:1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2" t="str">
        <f t="shared" ca="1" si="3"/>
        <v/>
      </c>
      <c r="O215" s="13"/>
      <c r="P215" s="13"/>
      <c r="Q215" s="13"/>
    </row>
    <row r="216" spans="1:1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2" t="str">
        <f t="shared" ca="1" si="3"/>
        <v/>
      </c>
      <c r="O216" s="13"/>
      <c r="P216" s="13"/>
      <c r="Q216" s="13"/>
    </row>
    <row r="217" spans="1:1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2" t="str">
        <f t="shared" ca="1" si="3"/>
        <v/>
      </c>
      <c r="O217" s="13"/>
      <c r="P217" s="13"/>
      <c r="Q217" s="13"/>
    </row>
    <row r="218" spans="1:1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2" t="str">
        <f t="shared" ca="1" si="3"/>
        <v/>
      </c>
      <c r="O218" s="13"/>
      <c r="P218" s="13"/>
      <c r="Q218" s="13"/>
    </row>
    <row r="219" spans="1:1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2" t="str">
        <f t="shared" ca="1" si="3"/>
        <v/>
      </c>
      <c r="O219" s="13"/>
      <c r="P219" s="13"/>
      <c r="Q219" s="13"/>
    </row>
    <row r="220" spans="1:1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2" t="str">
        <f t="shared" ca="1" si="3"/>
        <v/>
      </c>
      <c r="O220" s="13"/>
      <c r="P220" s="13"/>
      <c r="Q220" s="13"/>
    </row>
    <row r="221" spans="1:1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2" t="str">
        <f t="shared" ca="1" si="3"/>
        <v/>
      </c>
      <c r="O221" s="13"/>
      <c r="P221" s="13"/>
      <c r="Q221" s="13"/>
    </row>
    <row r="222" spans="1:1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2" t="str">
        <f t="shared" ca="1" si="3"/>
        <v/>
      </c>
      <c r="O222" s="13"/>
      <c r="P222" s="13"/>
      <c r="Q222" s="13"/>
    </row>
    <row r="223" spans="1:1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2" t="str">
        <f t="shared" ca="1" si="3"/>
        <v/>
      </c>
      <c r="O223" s="13"/>
      <c r="P223" s="13"/>
      <c r="Q223" s="13"/>
    </row>
    <row r="224" spans="1:1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2" t="str">
        <f t="shared" ca="1" si="3"/>
        <v/>
      </c>
      <c r="O224" s="13"/>
      <c r="P224" s="13"/>
      <c r="Q224" s="13"/>
    </row>
    <row r="225" spans="1:1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2" t="str">
        <f t="shared" ca="1" si="3"/>
        <v/>
      </c>
      <c r="O225" s="13"/>
      <c r="P225" s="13"/>
      <c r="Q225" s="13"/>
    </row>
    <row r="226" spans="1:1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2" t="str">
        <f t="shared" ca="1" si="3"/>
        <v/>
      </c>
      <c r="O226" s="13"/>
      <c r="P226" s="13"/>
      <c r="Q226" s="13"/>
    </row>
    <row r="227" spans="1:1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2" t="str">
        <f t="shared" ca="1" si="3"/>
        <v/>
      </c>
      <c r="O227" s="13"/>
      <c r="P227" s="13"/>
      <c r="Q227" s="13"/>
    </row>
    <row r="228" spans="1:1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2" t="str">
        <f t="shared" ca="1" si="3"/>
        <v/>
      </c>
      <c r="O228" s="13"/>
      <c r="P228" s="13"/>
      <c r="Q228" s="13"/>
    </row>
    <row r="229" spans="1:1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2" t="str">
        <f t="shared" ca="1" si="3"/>
        <v/>
      </c>
      <c r="O229" s="13"/>
      <c r="P229" s="13"/>
      <c r="Q229" s="13"/>
    </row>
    <row r="230" spans="1:1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2" t="str">
        <f t="shared" ca="1" si="3"/>
        <v/>
      </c>
      <c r="O230" s="13"/>
      <c r="P230" s="13"/>
      <c r="Q230" s="13"/>
    </row>
    <row r="231" spans="1:1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2" t="str">
        <f t="shared" ca="1" si="3"/>
        <v/>
      </c>
      <c r="O231" s="13"/>
      <c r="P231" s="13"/>
      <c r="Q231" s="13"/>
    </row>
    <row r="232" spans="1:1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2" t="str">
        <f t="shared" ca="1" si="3"/>
        <v/>
      </c>
      <c r="O232" s="13"/>
      <c r="P232" s="13"/>
      <c r="Q232" s="13"/>
    </row>
    <row r="233" spans="1:1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2" t="str">
        <f t="shared" ca="1" si="3"/>
        <v/>
      </c>
      <c r="O233" s="13"/>
      <c r="P233" s="13"/>
      <c r="Q233" s="13"/>
    </row>
    <row r="234" spans="1:1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2" t="str">
        <f t="shared" ca="1" si="3"/>
        <v/>
      </c>
      <c r="O234" s="13"/>
      <c r="P234" s="13"/>
      <c r="Q234" s="13"/>
    </row>
    <row r="235" spans="1:1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2" t="str">
        <f t="shared" ca="1" si="3"/>
        <v/>
      </c>
      <c r="O235" s="13"/>
      <c r="P235" s="13"/>
      <c r="Q235" s="13"/>
    </row>
    <row r="236" spans="1:1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2" t="str">
        <f t="shared" ca="1" si="3"/>
        <v/>
      </c>
      <c r="O236" s="13"/>
      <c r="P236" s="13"/>
      <c r="Q236" s="13"/>
    </row>
    <row r="237" spans="1:1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2" t="str">
        <f t="shared" ca="1" si="3"/>
        <v/>
      </c>
      <c r="O237" s="13"/>
      <c r="P237" s="13"/>
      <c r="Q237" s="13"/>
    </row>
    <row r="238" spans="1:1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2" t="str">
        <f t="shared" ca="1" si="3"/>
        <v/>
      </c>
      <c r="O238" s="13"/>
      <c r="P238" s="13"/>
      <c r="Q238" s="13"/>
    </row>
    <row r="239" spans="1:17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2" t="str">
        <f t="shared" ca="1" si="3"/>
        <v/>
      </c>
      <c r="O239" s="13"/>
      <c r="P239" s="13"/>
      <c r="Q239" s="13"/>
    </row>
    <row r="240" spans="1:17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2" t="str">
        <f t="shared" ca="1" si="3"/>
        <v/>
      </c>
      <c r="O240" s="13"/>
      <c r="P240" s="13"/>
      <c r="Q240" s="13"/>
    </row>
    <row r="241" spans="1:17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2" t="str">
        <f t="shared" ca="1" si="3"/>
        <v/>
      </c>
      <c r="O241" s="13"/>
      <c r="P241" s="13"/>
      <c r="Q241" s="13"/>
    </row>
    <row r="242" spans="1:17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2" t="str">
        <f t="shared" ca="1" si="3"/>
        <v/>
      </c>
      <c r="O242" s="13"/>
      <c r="P242" s="13"/>
      <c r="Q242" s="13"/>
    </row>
    <row r="243" spans="1:17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2" t="str">
        <f t="shared" ca="1" si="3"/>
        <v/>
      </c>
      <c r="O243" s="13"/>
      <c r="P243" s="13"/>
      <c r="Q243" s="13"/>
    </row>
    <row r="244" spans="1:17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2" t="str">
        <f t="shared" ca="1" si="3"/>
        <v/>
      </c>
      <c r="O244" s="13"/>
      <c r="P244" s="13"/>
      <c r="Q244" s="13"/>
    </row>
    <row r="245" spans="1:17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2" t="str">
        <f t="shared" ca="1" si="3"/>
        <v/>
      </c>
      <c r="O245" s="13"/>
      <c r="P245" s="13"/>
      <c r="Q245" s="13"/>
    </row>
    <row r="246" spans="1:17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2" t="str">
        <f t="shared" ca="1" si="3"/>
        <v/>
      </c>
      <c r="O246" s="13"/>
      <c r="P246" s="13"/>
      <c r="Q246" s="13"/>
    </row>
    <row r="247" spans="1:17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2" t="str">
        <f t="shared" ca="1" si="3"/>
        <v/>
      </c>
      <c r="O247" s="13"/>
      <c r="P247" s="13"/>
      <c r="Q247" s="13"/>
    </row>
    <row r="248" spans="1:17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2" t="str">
        <f t="shared" ca="1" si="3"/>
        <v/>
      </c>
      <c r="O248" s="13"/>
      <c r="P248" s="13"/>
      <c r="Q248" s="13"/>
    </row>
    <row r="249" spans="1:17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2" t="str">
        <f t="shared" ca="1" si="3"/>
        <v/>
      </c>
      <c r="O249" s="13"/>
      <c r="P249" s="13"/>
      <c r="Q249" s="13"/>
    </row>
    <row r="250" spans="1:17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2" t="str">
        <f t="shared" ca="1" si="3"/>
        <v/>
      </c>
      <c r="O250" s="13"/>
      <c r="P250" s="13"/>
      <c r="Q250" s="13"/>
    </row>
    <row r="251" spans="1:17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2" t="str">
        <f t="shared" ca="1" si="3"/>
        <v/>
      </c>
      <c r="O251" s="13"/>
      <c r="P251" s="13"/>
      <c r="Q251" s="13"/>
    </row>
    <row r="252" spans="1:17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2" t="str">
        <f t="shared" ca="1" si="3"/>
        <v/>
      </c>
      <c r="O252" s="13"/>
      <c r="P252" s="13"/>
      <c r="Q252" s="13"/>
    </row>
  </sheetData>
  <autoFilter ref="A2:Q252" xr:uid="{00000000-0009-0000-0000-000001000000}"/>
  <conditionalFormatting sqref="N3:N252">
    <cfRule type="cellIs" dxfId="8" priority="2" operator="equal">
      <formula>"Просрочен"</formula>
    </cfRule>
  </conditionalFormatting>
  <conditionalFormatting sqref="F3:F252">
    <cfRule type="cellIs" dxfId="7" priority="3" operator="equal">
      <formula>"Блокирующий"</formula>
    </cfRule>
    <cfRule type="cellIs" dxfId="6" priority="4" operator="equal">
      <formula>"Критический"</formula>
    </cfRule>
    <cfRule type="cellIs" dxfId="5" priority="5" operator="equal">
      <formula>"Значительный"</formula>
    </cfRule>
    <cfRule type="cellIs" dxfId="4" priority="6" operator="equal">
      <formula>"Незначительный"</formula>
    </cfRule>
  </conditionalFormatting>
  <conditionalFormatting sqref="O3:O252">
    <cfRule type="cellIs" dxfId="3" priority="7" operator="equal">
      <formula>"Закрыт"</formula>
    </cfRule>
    <cfRule type="cellIs" dxfId="2" priority="8" operator="equal">
      <formula>"Переоткрыт"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100-000000000000}">
          <x14:formula1>
            <xm:f>Справочники!$A$2:$A$5</xm:f>
          </x14:formula1>
          <x14:formula2>
            <xm:f>0</xm:f>
          </x14:formula2>
          <xm:sqref>F3:F252</xm:sqref>
        </x14:dataValidation>
        <x14:dataValidation type="list" allowBlank="1" xr:uid="{00000000-0002-0000-0100-000001000000}">
          <x14:formula1>
            <xm:f>Справочники!$B$2:$B$4</xm:f>
          </x14:formula1>
          <x14:formula2>
            <xm:f>0</xm:f>
          </x14:formula2>
          <xm:sqref>G3:G252</xm:sqref>
        </x14:dataValidation>
        <x14:dataValidation type="list" allowBlank="1" xr:uid="{00000000-0002-0000-0100-000002000000}">
          <x14:formula1>
            <xm:f>Справочники!$C$2:$C$9</xm:f>
          </x14:formula1>
          <x14:formula2>
            <xm:f>0</xm:f>
          </x14:formula2>
          <xm:sqref>O3:O252</xm:sqref>
        </x14:dataValidation>
        <x14:dataValidation type="list" allowBlank="1" xr:uid="{00000000-0002-0000-0100-000003000000}">
          <x14:formula1>
            <xm:f>Справочники!$D$2:$D$8</xm:f>
          </x14:formula1>
          <x14:formula2>
            <xm:f>0</xm:f>
          </x14:formula2>
          <xm:sqref>H3:H252</xm:sqref>
        </x14:dataValidation>
        <x14:dataValidation type="list" allowBlank="1" xr:uid="{00000000-0002-0000-0100-000004000000}">
          <x14:formula1>
            <xm:f>Справочники!$E$2:$E$12</xm:f>
          </x14:formula1>
          <x14:formula2>
            <xm:f>0</xm:f>
          </x14:formula2>
          <xm:sqref>I3:I252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8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4" customWidth="1"/>
    <col min="3" max="3" width="14" customWidth="1"/>
    <col min="4" max="4" width="3" customWidth="1"/>
    <col min="5" max="5" width="20" customWidth="1"/>
    <col min="6" max="6" width="12" customWidth="1"/>
  </cols>
  <sheetData>
    <row r="2" spans="2:6" ht="18" x14ac:dyDescent="0.25">
      <c r="B2" s="9" t="s">
        <v>77</v>
      </c>
    </row>
    <row r="3" spans="2:6" x14ac:dyDescent="0.25">
      <c r="B3" s="3" t="s">
        <v>78</v>
      </c>
    </row>
    <row r="5" spans="2:6" ht="15.75" x14ac:dyDescent="0.25">
      <c r="B5" s="6" t="s">
        <v>79</v>
      </c>
      <c r="E5" s="6" t="s">
        <v>80</v>
      </c>
    </row>
    <row r="6" spans="2:6" x14ac:dyDescent="0.25">
      <c r="B6" s="10" t="s">
        <v>34</v>
      </c>
      <c r="C6" s="10" t="s">
        <v>81</v>
      </c>
      <c r="E6" s="10" t="s">
        <v>43</v>
      </c>
      <c r="F6" s="10" t="s">
        <v>81</v>
      </c>
    </row>
    <row r="7" spans="2:6" x14ac:dyDescent="0.25">
      <c r="B7" s="14" t="s">
        <v>61</v>
      </c>
      <c r="C7" s="15">
        <f>COUNTIF('Журнал дефектов'!$F$3:$F$252,"Блокирующий")</f>
        <v>1</v>
      </c>
      <c r="E7" s="16" t="s">
        <v>66</v>
      </c>
      <c r="F7" s="15">
        <f>COUNTIF('Журнал дефектов'!$O$3:$O$252,"Открыт")</f>
        <v>0</v>
      </c>
    </row>
    <row r="8" spans="2:6" x14ac:dyDescent="0.25">
      <c r="B8" s="17" t="s">
        <v>50</v>
      </c>
      <c r="C8" s="15">
        <f>COUNTIF('Журнал дефектов'!$F$3:$F$252,"Критический")</f>
        <v>1</v>
      </c>
      <c r="E8" s="16" t="s">
        <v>82</v>
      </c>
      <c r="F8" s="15">
        <f>COUNTIF('Журнал дефектов'!$O$3:$O$252,"Назначен")</f>
        <v>0</v>
      </c>
    </row>
    <row r="9" spans="2:6" x14ac:dyDescent="0.25">
      <c r="B9" s="18" t="s">
        <v>83</v>
      </c>
      <c r="C9" s="15">
        <f>COUNTIF('Журнал дефектов'!$F$3:$F$252,"Значительный")</f>
        <v>0</v>
      </c>
      <c r="E9" s="16" t="s">
        <v>56</v>
      </c>
      <c r="F9" s="15">
        <f>COUNTIF('Журнал дефектов'!$O$3:$O$252,"Исправлен")</f>
        <v>1</v>
      </c>
    </row>
    <row r="10" spans="2:6" x14ac:dyDescent="0.25">
      <c r="B10" s="19" t="s">
        <v>71</v>
      </c>
      <c r="C10" s="15">
        <f>COUNTIF('Журнал дефектов'!$F$3:$F$252,"Незначительный")</f>
        <v>1</v>
      </c>
      <c r="E10" s="16" t="s">
        <v>84</v>
      </c>
      <c r="F10" s="15">
        <f>COUNTIF('Журнал дефектов'!$O$3:$O$252,"Проверен")</f>
        <v>0</v>
      </c>
    </row>
    <row r="11" spans="2:6" x14ac:dyDescent="0.25">
      <c r="B11" s="20" t="s">
        <v>85</v>
      </c>
      <c r="C11" s="21">
        <f>COUNTA('Журнал дефектов'!$A$3:$A$252)</f>
        <v>3</v>
      </c>
      <c r="E11" s="16" t="s">
        <v>76</v>
      </c>
      <c r="F11" s="15">
        <f>COUNTIF('Журнал дефектов'!$O$3:$O$252,"Закрыт")</f>
        <v>1</v>
      </c>
    </row>
    <row r="12" spans="2:6" x14ac:dyDescent="0.25">
      <c r="B12" s="20" t="s">
        <v>86</v>
      </c>
      <c r="C12" s="22">
        <f>COUNTIFS('Журнал дефектов'!$F$3:$F$252,"Блокирующий",'Журнал дефектов'!$O$3:$O$252,"&lt;&gt;Закрыт",'Журнал дефектов'!$O$3:$O$252,"&lt;&gt;Проверен",'Журнал дефектов'!$O$3:$O$252,"&lt;&gt;Отклонён")+COUNTIFS('Журнал дефектов'!$F$3:$F$252,"Критический",'Журнал дефектов'!$O$3:$O$252,"&lt;&gt;Закрыт",'Журнал дефектов'!$O$3:$O$252,"&lt;&gt;Проверен",'Журнал дефектов'!$O$3:$O$252,"&lt;&gt;Отклонён")</f>
        <v>2</v>
      </c>
      <c r="E12" s="16" t="s">
        <v>87</v>
      </c>
      <c r="F12" s="15">
        <f>COUNTIF('Журнал дефектов'!$O$3:$O$252,"Отклонён")</f>
        <v>0</v>
      </c>
    </row>
    <row r="13" spans="2:6" x14ac:dyDescent="0.25">
      <c r="B13" s="20" t="s">
        <v>88</v>
      </c>
      <c r="C13" s="22">
        <f ca="1">COUNTIF('Журнал дефектов'!$N$3:$N$252,"Просрочен")</f>
        <v>0</v>
      </c>
      <c r="E13" s="16" t="s">
        <v>89</v>
      </c>
      <c r="F13" s="15">
        <f>COUNTIF('Журнал дефектов'!$O$3:$O$252,"Отложен")</f>
        <v>0</v>
      </c>
    </row>
    <row r="14" spans="2:6" x14ac:dyDescent="0.25">
      <c r="E14" s="16" t="s">
        <v>90</v>
      </c>
      <c r="F14" s="15">
        <f>COUNTIF('Журнал дефектов'!$O$3:$O$252,"Переоткрыт")</f>
        <v>1</v>
      </c>
    </row>
    <row r="16" spans="2:6" ht="15" customHeight="1" x14ac:dyDescent="0.25">
      <c r="B16" s="1" t="s">
        <v>91</v>
      </c>
      <c r="C16" s="1"/>
    </row>
    <row r="17" spans="2:3" x14ac:dyDescent="0.25">
      <c r="B17" s="1"/>
      <c r="C17" s="1"/>
    </row>
    <row r="18" spans="2:3" x14ac:dyDescent="0.25">
      <c r="B18" s="1"/>
      <c r="C18" s="1"/>
    </row>
  </sheetData>
  <mergeCells count="1">
    <mergeCell ref="B16:C18"/>
  </mergeCells>
  <conditionalFormatting sqref="C12">
    <cfRule type="cellIs" dxfId="1" priority="2" operator="greaterThan">
      <formula>0</formula>
    </cfRule>
  </conditionalFormatting>
  <conditionalFormatting sqref="C13">
    <cfRule type="cellIs" dxfId="0" priority="3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showGridLines="0" zoomScaleNormal="100" workbookViewId="0"/>
  </sheetViews>
  <sheetFormatPr defaultColWidth="8.7109375" defaultRowHeight="15" x14ac:dyDescent="0.25"/>
  <cols>
    <col min="1" max="3" width="24" customWidth="1"/>
    <col min="4" max="4" width="22" customWidth="1"/>
    <col min="5" max="5" width="24" customWidth="1"/>
  </cols>
  <sheetData>
    <row r="1" spans="1:5" ht="25.5" x14ac:dyDescent="0.25">
      <c r="A1" s="10" t="s">
        <v>34</v>
      </c>
      <c r="B1" s="10" t="s">
        <v>35</v>
      </c>
      <c r="C1" s="10" t="s">
        <v>43</v>
      </c>
      <c r="D1" s="10" t="s">
        <v>92</v>
      </c>
      <c r="E1" s="10" t="s">
        <v>37</v>
      </c>
    </row>
    <row r="2" spans="1:5" x14ac:dyDescent="0.25">
      <c r="A2" s="16" t="s">
        <v>61</v>
      </c>
      <c r="B2" s="16" t="s">
        <v>51</v>
      </c>
      <c r="C2" s="16" t="s">
        <v>66</v>
      </c>
      <c r="D2" s="16" t="s">
        <v>52</v>
      </c>
      <c r="E2" s="16" t="s">
        <v>93</v>
      </c>
    </row>
    <row r="3" spans="1:5" x14ac:dyDescent="0.25">
      <c r="A3" s="16" t="s">
        <v>50</v>
      </c>
      <c r="B3" s="16" t="s">
        <v>94</v>
      </c>
      <c r="C3" s="16" t="s">
        <v>82</v>
      </c>
      <c r="D3" s="16" t="s">
        <v>62</v>
      </c>
      <c r="E3" s="16" t="s">
        <v>95</v>
      </c>
    </row>
    <row r="4" spans="1:5" x14ac:dyDescent="0.25">
      <c r="A4" s="16" t="s">
        <v>83</v>
      </c>
      <c r="B4" s="16" t="s">
        <v>72</v>
      </c>
      <c r="C4" s="16" t="s">
        <v>56</v>
      </c>
      <c r="D4" s="16" t="s">
        <v>96</v>
      </c>
      <c r="E4" s="16" t="s">
        <v>97</v>
      </c>
    </row>
    <row r="5" spans="1:5" x14ac:dyDescent="0.25">
      <c r="A5" s="16" t="s">
        <v>71</v>
      </c>
      <c r="C5" s="16" t="s">
        <v>84</v>
      </c>
      <c r="D5" s="16" t="s">
        <v>98</v>
      </c>
      <c r="E5" s="16" t="s">
        <v>53</v>
      </c>
    </row>
    <row r="6" spans="1:5" x14ac:dyDescent="0.25">
      <c r="C6" s="16" t="s">
        <v>76</v>
      </c>
      <c r="D6" s="16" t="s">
        <v>99</v>
      </c>
      <c r="E6" s="16" t="s">
        <v>100</v>
      </c>
    </row>
    <row r="7" spans="1:5" x14ac:dyDescent="0.25">
      <c r="C7" s="16" t="s">
        <v>87</v>
      </c>
      <c r="D7" s="16" t="s">
        <v>101</v>
      </c>
      <c r="E7" s="16" t="s">
        <v>73</v>
      </c>
    </row>
    <row r="8" spans="1:5" x14ac:dyDescent="0.25">
      <c r="C8" s="16" t="s">
        <v>89</v>
      </c>
      <c r="D8" s="16" t="s">
        <v>102</v>
      </c>
      <c r="E8" s="16" t="s">
        <v>103</v>
      </c>
    </row>
    <row r="9" spans="1:5" x14ac:dyDescent="0.25">
      <c r="C9" s="16" t="s">
        <v>90</v>
      </c>
      <c r="E9" s="16" t="s">
        <v>104</v>
      </c>
    </row>
    <row r="10" spans="1:5" x14ac:dyDescent="0.25">
      <c r="E10" s="16" t="s">
        <v>63</v>
      </c>
    </row>
    <row r="11" spans="1:5" x14ac:dyDescent="0.25">
      <c r="E11" s="16" t="s">
        <v>105</v>
      </c>
    </row>
    <row r="12" spans="1:5" x14ac:dyDescent="0.25">
      <c r="E12" s="16" t="s">
        <v>106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showGridLines="0" zoomScaleNormal="100" workbookViewId="0"/>
  </sheetViews>
  <sheetFormatPr defaultColWidth="8.7109375" defaultRowHeight="15" x14ac:dyDescent="0.25"/>
  <cols>
    <col min="1" max="1" width="12" customWidth="1"/>
    <col min="2" max="2" width="16" customWidth="1"/>
    <col min="3" max="3" width="70" customWidth="1"/>
    <col min="4" max="4" width="24" customWidth="1"/>
  </cols>
  <sheetData>
    <row r="1" spans="1:4" ht="16.5" x14ac:dyDescent="0.25">
      <c r="A1" s="23" t="s">
        <v>107</v>
      </c>
    </row>
    <row r="2" spans="1:4" x14ac:dyDescent="0.25">
      <c r="A2" s="10" t="s">
        <v>108</v>
      </c>
      <c r="B2" s="10" t="s">
        <v>109</v>
      </c>
      <c r="C2" s="10" t="s">
        <v>110</v>
      </c>
      <c r="D2" s="10" t="s">
        <v>111</v>
      </c>
    </row>
    <row r="3" spans="1:4" x14ac:dyDescent="0.25">
      <c r="A3" s="24" t="s">
        <v>112</v>
      </c>
      <c r="B3" s="24" t="s">
        <v>113</v>
      </c>
      <c r="C3" s="24" t="s">
        <v>114</v>
      </c>
      <c r="D3" s="24" t="s">
        <v>115</v>
      </c>
    </row>
    <row r="4" spans="1:4" x14ac:dyDescent="0.25">
      <c r="A4" s="25"/>
      <c r="B4" s="25"/>
      <c r="C4" s="25"/>
      <c r="D4" s="25"/>
    </row>
    <row r="5" spans="1:4" x14ac:dyDescent="0.25">
      <c r="A5" s="25"/>
      <c r="B5" s="25"/>
      <c r="C5" s="25"/>
      <c r="D5" s="25"/>
    </row>
    <row r="6" spans="1:4" x14ac:dyDescent="0.25">
      <c r="A6" s="25"/>
      <c r="B6" s="25"/>
      <c r="C6" s="25"/>
      <c r="D6" s="25"/>
    </row>
    <row r="7" spans="1:4" x14ac:dyDescent="0.25">
      <c r="A7" s="25"/>
      <c r="B7" s="25"/>
      <c r="C7" s="25"/>
      <c r="D7" s="2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Инструкция</vt:lpstr>
      <vt:lpstr>Журнал дефектов</vt:lpstr>
      <vt:lpstr>Сводка</vt:lpstr>
      <vt:lpstr>Справочники</vt:lpstr>
      <vt:lpstr>Журнал изменений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Журнал дефектов</dc:title>
  <dc:subject/>
  <dc:creator>Халилов Руслан Энверович, руководитель проектов, PMP (PMI)</dc:creator>
  <dc:description/>
  <cp:lastModifiedBy>Руслан Халилов</cp:lastModifiedBy>
  <cp:revision>0</cp:revision>
  <dcterms:created xsi:type="dcterms:W3CDTF">2026-06-21T13:24:34Z</dcterms:created>
  <dcterms:modified xsi:type="dcterms:W3CDTF">2026-06-21T18:52:18Z</dcterms:modified>
  <dc:language>en-US</dc:language>
</cp:coreProperties>
</file>